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c4ae72f4af4a124e/Documents/Dissertation Writing/ASF Primary Source Photos/"/>
    </mc:Choice>
  </mc:AlternateContent>
  <xr:revisionPtr revIDLastSave="7" documentId="8_{24C56E67-CACC-41CD-9CF6-E0D064236F30}" xr6:coauthVersionLast="47" xr6:coauthVersionMax="47" xr10:uidLastSave="{28647487-0E93-43E9-9DDC-3139757CD808}"/>
  <bookViews>
    <workbookView xWindow="-98" yWindow="-98" windowWidth="21795" windowHeight="12975" xr2:uid="{BFA6B104-35CE-4AB2-A4BD-B8E82DC51B0B}"/>
  </bookViews>
  <sheets>
    <sheet name="Raw Data" sheetId="1" r:id="rId1"/>
    <sheet name="Geographic Mapping" sheetId="7" r:id="rId2"/>
    <sheet name="Place Profiles" sheetId="9" r:id="rId3"/>
    <sheet name="Drop Down Lists" sheetId="4" r:id="rId4"/>
  </sheets>
  <definedNames>
    <definedName name="_xlnm._FilterDatabase" localSheetId="3" hidden="1">'Drop Down Lists'!$B$1:$B$15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a="1"/>
  <c r="A1" i="7" s="1"/>
  <c r="B1" i="7" a="1"/>
  <c r="B1" i="7" s="1"/>
  <c r="C1" i="7" a="1"/>
  <c r="C1" i="7" s="1"/>
  <c r="F1" i="7" a="1"/>
  <c r="F1" i="7" s="1"/>
  <c r="G1" i="7" a="1"/>
  <c r="G1" i="7" s="1"/>
  <c r="G2" i="9" a="1"/>
  <c r="G2" i="9" s="1"/>
  <c r="H439" i="7" s="1" a="1"/>
  <c r="H439" i="7" s="1"/>
  <c r="H284" i="7" a="1"/>
  <c r="H284" i="7" s="1"/>
  <c r="H169" i="7" a="1"/>
  <c r="H169" i="7" s="1"/>
  <c r="H157" i="7" a="1"/>
  <c r="H157" i="7" s="1"/>
  <c r="H181" i="7" a="1"/>
  <c r="H181" i="7" s="1"/>
  <c r="H65" i="7" a="1"/>
  <c r="H65" i="7" s="1"/>
  <c r="H364" i="7" a="1"/>
  <c r="H364" i="7" s="1"/>
  <c r="H292" i="7" a="1"/>
  <c r="H292" i="7" s="1"/>
  <c r="H204" i="7" a="1"/>
  <c r="H204" i="7" s="1"/>
  <c r="H353" i="7" a="1"/>
  <c r="H353" i="7" s="1"/>
  <c r="H490" i="7" a="1"/>
  <c r="H490" i="7" s="1"/>
  <c r="H363" i="7" a="1"/>
  <c r="H363" i="7" s="1"/>
  <c r="H496" i="7" a="1"/>
  <c r="H496" i="7" s="1"/>
  <c r="H225" i="7" a="1"/>
  <c r="H225" i="7" s="1"/>
  <c r="H209" i="7" a="1"/>
  <c r="H209" i="7" s="1"/>
  <c r="H99" i="7" a="1"/>
  <c r="H99" i="7" s="1"/>
  <c r="H473" i="7" a="1"/>
  <c r="H473" i="7" s="1"/>
  <c r="H71" i="7" a="1"/>
  <c r="H71" i="7" s="1"/>
  <c r="H401" i="7" a="1"/>
  <c r="H401" i="7" s="1"/>
  <c r="H212" i="7" a="1"/>
  <c r="H212" i="7" s="1"/>
  <c r="H358" i="7" a="1"/>
  <c r="H358" i="7" s="1"/>
  <c r="H124" i="7" a="1"/>
  <c r="H124" i="7" s="1"/>
  <c r="H317" i="7" a="1"/>
  <c r="H317" i="7" s="1"/>
  <c r="H70" i="7" a="1"/>
  <c r="H70" i="7" s="1"/>
  <c r="H456" i="7" a="1"/>
  <c r="H456" i="7" s="1"/>
  <c r="H379" i="7" a="1"/>
  <c r="H379" i="7" s="1"/>
  <c r="H117" i="7" a="1"/>
  <c r="H117" i="7" s="1"/>
  <c r="H404" i="7" a="1"/>
  <c r="H404" i="7" s="1"/>
  <c r="H94" i="7" a="1"/>
  <c r="H94" i="7" s="1"/>
  <c r="H232" i="7" a="1"/>
  <c r="H232" i="7" s="1"/>
  <c r="H462" i="7" a="1"/>
  <c r="H462" i="7" s="1"/>
  <c r="H109" i="7" a="1"/>
  <c r="H109" i="7" s="1"/>
  <c r="H235" i="7" a="1"/>
  <c r="H235" i="7" s="1"/>
  <c r="H362" i="7" a="1"/>
  <c r="H362" i="7" s="1"/>
  <c r="H63" i="7" a="1"/>
  <c r="H63" i="7" s="1"/>
  <c r="H191" i="7" a="1"/>
  <c r="H191" i="7" s="1"/>
  <c r="H484" i="7" a="1"/>
  <c r="H484" i="7" s="1"/>
  <c r="H123" i="7" a="1"/>
  <c r="H123" i="7" s="1"/>
  <c r="H249" i="7" a="1"/>
  <c r="H249" i="7" s="1"/>
  <c r="H386" i="7" a="1"/>
  <c r="H386" i="7" s="1"/>
  <c r="H477" i="7" a="1"/>
  <c r="H477" i="7" s="1"/>
  <c r="H244" i="7" a="1"/>
  <c r="H244" i="7" s="1"/>
  <c r="H393" i="7" a="1"/>
  <c r="H393" i="7" s="1"/>
  <c r="H141" i="7" a="1"/>
  <c r="H141" i="7" s="1"/>
  <c r="H291" i="7" a="1"/>
  <c r="H291" i="7" s="1"/>
  <c r="H428" i="7" a="1"/>
  <c r="H428" i="7" s="1"/>
  <c r="H39" i="7" a="1"/>
  <c r="H39" i="7" s="1"/>
  <c r="H177" i="7" a="1"/>
  <c r="H177" i="7" s="1"/>
  <c r="H327" i="7" a="1"/>
  <c r="H327" i="7" s="1"/>
  <c r="H121" i="7" a="1"/>
  <c r="H121" i="7" s="1"/>
  <c r="H247" i="7" a="1"/>
  <c r="H247" i="7" s="1"/>
  <c r="H372" i="7" a="1"/>
  <c r="H372" i="7" s="1"/>
  <c r="H398" i="7" a="1"/>
  <c r="H398" i="7" s="1"/>
  <c r="H17" i="7" a="1"/>
  <c r="H17" i="7" s="1"/>
  <c r="H446" i="7" a="1"/>
  <c r="H446" i="7" s="1"/>
  <c r="H174" i="7" a="1"/>
  <c r="H174" i="7" s="1"/>
  <c r="H426" i="7" a="1"/>
  <c r="H426" i="7" s="1"/>
  <c r="H118" i="7" a="1"/>
  <c r="H118" i="7" s="1"/>
  <c r="H256" i="7" a="1"/>
  <c r="H256" i="7" s="1"/>
  <c r="H405" i="7" a="1"/>
  <c r="H405" i="7" s="1"/>
  <c r="H164" i="7" a="1"/>
  <c r="H164" i="7" s="1"/>
  <c r="H302" i="7" a="1"/>
  <c r="H302" i="7" s="1"/>
  <c r="H449" i="7" a="1"/>
  <c r="H449" i="7" s="1"/>
  <c r="H51" i="7" a="1"/>
  <c r="H51" i="7" s="1"/>
  <c r="H259" i="7" a="1"/>
  <c r="H259" i="7" s="1"/>
  <c r="H384" i="7" a="1"/>
  <c r="H384" i="7" s="1"/>
  <c r="H86" i="7" a="1"/>
  <c r="H86" i="7" s="1"/>
  <c r="H213" i="7" a="1"/>
  <c r="H213" i="7" s="1"/>
  <c r="H373" i="7" a="1"/>
  <c r="H373" i="7" s="1"/>
  <c r="H134" i="7" a="1"/>
  <c r="H134" i="7" s="1"/>
  <c r="H261" i="7" a="1"/>
  <c r="H261" i="7" s="1"/>
  <c r="H410" i="7" a="1"/>
  <c r="H410" i="7" s="1"/>
  <c r="H20" i="7" a="1"/>
  <c r="H20" i="7" s="1"/>
  <c r="H31" i="7" a="1"/>
  <c r="H31" i="7" s="1"/>
  <c r="H115" i="7" a="1"/>
  <c r="H115" i="7" s="1"/>
  <c r="H48" i="7" a="1"/>
  <c r="H48" i="7" s="1"/>
  <c r="H268" i="7" a="1"/>
  <c r="H268" i="7" s="1"/>
  <c r="H416" i="7" a="1"/>
  <c r="H416" i="7" s="1"/>
  <c r="H176" i="7" a="1"/>
  <c r="H176" i="7" s="1"/>
  <c r="H314" i="7" a="1"/>
  <c r="H314" i="7" s="1"/>
  <c r="H461" i="7" a="1"/>
  <c r="H461" i="7" s="1"/>
  <c r="H62" i="7" a="1"/>
  <c r="H62" i="7" s="1"/>
  <c r="H211" i="7" a="1"/>
  <c r="H211" i="7" s="1"/>
  <c r="H361" i="7" a="1"/>
  <c r="H361" i="7" s="1"/>
  <c r="H483" i="7" a="1"/>
  <c r="H483" i="7" s="1"/>
  <c r="H143" i="7" a="1"/>
  <c r="H143" i="7" s="1"/>
  <c r="H271" i="7" a="1"/>
  <c r="H271" i="7" s="1"/>
  <c r="H396" i="7" a="1"/>
  <c r="H396" i="7" s="1"/>
  <c r="H283" i="7" a="1"/>
  <c r="H283" i="7" s="1"/>
  <c r="H420" i="7" a="1"/>
  <c r="H420" i="7" s="1"/>
  <c r="H2" i="7" a="1"/>
  <c r="H2" i="7" s="1"/>
  <c r="H126" i="7" a="1"/>
  <c r="H126" i="7" s="1"/>
  <c r="H196" i="7" a="1"/>
  <c r="H196" i="7" s="1"/>
  <c r="H104" i="7" a="1"/>
  <c r="H104" i="7" s="1"/>
  <c r="H220" i="7" a="1"/>
  <c r="H220" i="7" s="1"/>
  <c r="H459" i="7" a="1"/>
  <c r="H459" i="7"/>
  <c r="H140" i="7" a="1"/>
  <c r="H140" i="7" s="1"/>
  <c r="H290" i="7" a="1"/>
  <c r="H290" i="7" s="1"/>
  <c r="H427" i="7" a="1"/>
  <c r="H427" i="7" s="1"/>
  <c r="H73" i="7" a="1"/>
  <c r="H73" i="7" s="1"/>
  <c r="H223" i="7" a="1"/>
  <c r="H223" i="7" s="1"/>
  <c r="H371" i="7" a="1"/>
  <c r="H371" i="7" s="1"/>
  <c r="H492" i="7" a="1"/>
  <c r="H492" i="7" s="1"/>
  <c r="H154" i="7" a="1"/>
  <c r="H154" i="7" s="1"/>
  <c r="H281" i="7" a="1"/>
  <c r="H281" i="7" s="1"/>
  <c r="H408" i="7" a="1"/>
  <c r="H408" i="7" s="1"/>
  <c r="H110" i="7" a="1"/>
  <c r="H110" i="7" s="1"/>
  <c r="H248" i="7" a="1"/>
  <c r="H248" i="7" s="1"/>
  <c r="H397" i="7" a="1"/>
  <c r="H397" i="7" s="1"/>
  <c r="H27" i="7" a="1"/>
  <c r="H27" i="7" s="1"/>
  <c r="H156" i="7" a="1"/>
  <c r="H156" i="7" s="1"/>
  <c r="H159" i="7" a="1"/>
  <c r="H159" i="7" s="1"/>
  <c r="H241" i="7" a="1"/>
  <c r="H241" i="7" s="1"/>
  <c r="H138" i="7" a="1"/>
  <c r="H138" i="7" s="1"/>
  <c r="H255" i="7" a="1"/>
  <c r="H255" i="7" s="1"/>
  <c r="H470" i="7" a="1"/>
  <c r="H470" i="7" s="1"/>
  <c r="H152" i="7" a="1"/>
  <c r="H152" i="7" s="1"/>
  <c r="H301" i="7" a="1"/>
  <c r="H301" i="7" s="1"/>
  <c r="H438" i="7" a="1"/>
  <c r="H438" i="7" s="1"/>
  <c r="H38" i="7" a="1"/>
  <c r="H38" i="7" s="1"/>
  <c r="H200" i="7" a="1"/>
  <c r="H200" i="7" s="1"/>
  <c r="H338" i="7" a="1"/>
  <c r="H338" i="7" s="1"/>
  <c r="H491" i="7" a="1"/>
  <c r="H491" i="7" s="1"/>
  <c r="H293" i="7" a="1"/>
  <c r="H293" i="7" s="1"/>
  <c r="H418" i="7" a="1"/>
  <c r="H418" i="7" s="1"/>
  <c r="H122" i="7" a="1"/>
  <c r="H122" i="7" s="1"/>
  <c r="H260" i="7" a="1"/>
  <c r="H260" i="7" s="1"/>
  <c r="H409" i="7" a="1"/>
  <c r="H409" i="7" s="1"/>
  <c r="H42" i="7" a="1"/>
  <c r="H42" i="7" s="1"/>
  <c r="H168" i="7" a="1"/>
  <c r="H168" i="7" s="1"/>
  <c r="H306" i="7" a="1"/>
  <c r="H306" i="7" s="1"/>
  <c r="H453" i="7" a="1"/>
  <c r="H453" i="7" s="1"/>
  <c r="H238" i="7" a="1"/>
  <c r="H238" i="7" s="1"/>
  <c r="H56" i="7" a="1"/>
  <c r="H56" i="7" s="1"/>
  <c r="H183" i="7" a="1"/>
  <c r="H183" i="7" s="1"/>
  <c r="H163" i="7" a="1"/>
  <c r="H163" i="7" s="1"/>
  <c r="H313" i="7" a="1"/>
  <c r="H313" i="7" s="1"/>
  <c r="H448" i="7" a="1"/>
  <c r="H448" i="7" s="1"/>
  <c r="H61" i="7" a="1"/>
  <c r="H61" i="7" s="1"/>
  <c r="H210" i="7" a="1"/>
  <c r="H210" i="7" s="1"/>
  <c r="H348" i="7" a="1"/>
  <c r="H348" i="7" s="1"/>
  <c r="H500" i="7" a="1"/>
  <c r="H500" i="7" s="1"/>
  <c r="H96" i="7" a="1"/>
  <c r="H96" i="7" s="1"/>
  <c r="H246" i="7" a="1"/>
  <c r="H246" i="7" s="1"/>
  <c r="H395" i="7" a="1"/>
  <c r="H395" i="7" s="1"/>
  <c r="H23" i="7" a="1"/>
  <c r="H23" i="7" s="1"/>
  <c r="H178" i="7" a="1"/>
  <c r="H178" i="7" s="1"/>
  <c r="H419" i="7" a="1"/>
  <c r="H419" i="7" s="1"/>
  <c r="H54" i="7" a="1"/>
  <c r="H54" i="7" s="1"/>
  <c r="H180" i="7" a="1"/>
  <c r="H180" i="7" s="1"/>
  <c r="H318" i="7" a="1"/>
  <c r="H318" i="7" s="1"/>
  <c r="H465" i="7" a="1"/>
  <c r="H465" i="7" s="1"/>
  <c r="H375" i="7" a="1"/>
  <c r="H375" i="7" s="1"/>
  <c r="H89" i="7" a="1"/>
  <c r="H89" i="7" s="1"/>
  <c r="H264" i="7" a="1"/>
  <c r="H264" i="7" s="1"/>
  <c r="H356" i="7" a="1"/>
  <c r="H356" i="7" s="1"/>
  <c r="H197" i="7" a="1"/>
  <c r="H197" i="7" s="1"/>
  <c r="H289" i="7" a="1"/>
  <c r="H289" i="7" s="1"/>
  <c r="H37" i="7" a="1"/>
  <c r="H37" i="7" s="1"/>
  <c r="H222" i="7" a="1"/>
  <c r="H222" i="7" s="1"/>
  <c r="H360" i="7" a="1"/>
  <c r="H360" i="7" s="1"/>
  <c r="H108" i="7" a="1"/>
  <c r="H108" i="7" s="1"/>
  <c r="H258" i="7" a="1"/>
  <c r="H258" i="7" s="1"/>
  <c r="H407" i="7" a="1"/>
  <c r="H407" i="7" s="1"/>
  <c r="H40" i="7" a="1"/>
  <c r="H40" i="7" s="1"/>
  <c r="H190" i="7" a="1"/>
  <c r="H190" i="7" s="1"/>
  <c r="H316" i="7" a="1"/>
  <c r="H316" i="7" s="1"/>
  <c r="H440" i="7" a="1"/>
  <c r="H440" i="7" s="1"/>
  <c r="H144" i="7" a="1"/>
  <c r="H144" i="7" s="1"/>
  <c r="H282" i="7" a="1"/>
  <c r="H282" i="7" s="1"/>
  <c r="H431" i="7" a="1"/>
  <c r="H431" i="7" s="1"/>
  <c r="H475" i="7" a="1"/>
  <c r="H475" i="7" s="1"/>
  <c r="H112" i="7" a="1"/>
  <c r="H112" i="7" s="1"/>
  <c r="H262" i="7" a="1"/>
  <c r="H262" i="7" s="1"/>
  <c r="H113" i="7" a="1"/>
  <c r="H113" i="7" s="1"/>
  <c r="H297" i="7" a="1"/>
  <c r="H297" i="7" s="1"/>
  <c r="H390" i="7" a="1"/>
  <c r="H390" i="7" s="1"/>
  <c r="H242" i="7" a="1"/>
  <c r="H242" i="7" s="1"/>
  <c r="H18" i="7" a="1"/>
  <c r="H18" i="7" s="1"/>
  <c r="H312" i="7" a="1"/>
  <c r="H312" i="7" s="1"/>
  <c r="H50" i="7" a="1"/>
  <c r="H50" i="7" s="1"/>
  <c r="H187" i="7" a="1"/>
  <c r="H187" i="7" s="1"/>
  <c r="H337" i="7" a="1"/>
  <c r="H337" i="7" s="1"/>
  <c r="H471" i="7" a="1"/>
  <c r="H471" i="7" s="1"/>
  <c r="H120" i="7" a="1"/>
  <c r="H120" i="7" s="1"/>
  <c r="H270" i="7" a="1"/>
  <c r="H270" i="7" s="1"/>
  <c r="H417" i="7" a="1"/>
  <c r="H417" i="7" s="1"/>
  <c r="H52" i="7" a="1"/>
  <c r="H52" i="7" s="1"/>
  <c r="H328" i="7" a="1"/>
  <c r="H328" i="7" s="1"/>
  <c r="H451" i="7" a="1"/>
  <c r="H451" i="7" s="1"/>
  <c r="H294" i="7" a="1"/>
  <c r="H294" i="7" s="1"/>
  <c r="H441" i="7" a="1"/>
  <c r="H441" i="7" s="1"/>
  <c r="H76" i="7" a="1"/>
  <c r="H76" i="7" s="1"/>
  <c r="H203" i="7" a="1"/>
  <c r="H203" i="7" s="1"/>
  <c r="H341" i="7" a="1"/>
  <c r="H341" i="7" s="1"/>
  <c r="H485" i="7" a="1"/>
  <c r="H485" i="7" s="1"/>
  <c r="H250" i="7" a="1"/>
  <c r="H250" i="7" s="1"/>
  <c r="H277" i="7" a="1"/>
  <c r="H277" i="7" s="1"/>
  <c r="H35" i="7" a="1"/>
  <c r="H35" i="7" s="1"/>
  <c r="H324" i="7" a="1"/>
  <c r="H324" i="7" s="1"/>
  <c r="H60" i="7" a="1"/>
  <c r="H60" i="7" s="1"/>
  <c r="H199" i="7" a="1"/>
  <c r="H199" i="7" s="1"/>
  <c r="H347" i="7" a="1"/>
  <c r="H347" i="7" s="1"/>
  <c r="H481" i="7" a="1"/>
  <c r="H481" i="7" s="1"/>
  <c r="H95" i="7" a="1"/>
  <c r="H95" i="7" s="1"/>
  <c r="H245" i="7" a="1"/>
  <c r="H245" i="7" s="1"/>
  <c r="H382" i="7" a="1"/>
  <c r="H382" i="7" s="1"/>
  <c r="H131" i="7" a="1"/>
  <c r="H131" i="7" s="1"/>
  <c r="H280" i="7" a="1"/>
  <c r="H280" i="7" s="1"/>
  <c r="H429" i="7" a="1"/>
  <c r="H429" i="7" s="1"/>
  <c r="H463" i="7" a="1"/>
  <c r="H463" i="7" s="1"/>
  <c r="H25" i="7" a="1"/>
  <c r="H25" i="7" s="1"/>
  <c r="H155" i="7" a="1"/>
  <c r="H155" i="7" s="1"/>
  <c r="H305" i="7" a="1"/>
  <c r="H305" i="7" s="1"/>
  <c r="H452" i="7" a="1"/>
  <c r="H452" i="7" s="1"/>
  <c r="H87" i="7" a="1"/>
  <c r="H87" i="7" s="1"/>
  <c r="H214" i="7" a="1"/>
  <c r="H214" i="7" s="1"/>
  <c r="H352" i="7" a="1"/>
  <c r="H352" i="7" s="1"/>
  <c r="H494" i="7" a="1"/>
  <c r="H494" i="7" s="1"/>
  <c r="H387" i="7" a="1"/>
  <c r="H387" i="7" s="1"/>
  <c r="H343" i="7" a="1"/>
  <c r="H343" i="7" s="1"/>
  <c r="H435" i="7" a="1"/>
  <c r="H435" i="7" s="1"/>
  <c r="H335" i="7" a="1"/>
  <c r="H335" i="7" s="1"/>
  <c r="H221" i="7" a="1"/>
  <c r="H221" i="7" s="1"/>
  <c r="H369" i="7" a="1"/>
  <c r="H369" i="7" s="1"/>
  <c r="H499" i="7" a="1"/>
  <c r="H499" i="7" s="1"/>
  <c r="H119" i="7" a="1"/>
  <c r="H119" i="7" s="1"/>
  <c r="H269" i="7" a="1"/>
  <c r="H269" i="7" s="1"/>
  <c r="H394" i="7" a="1"/>
  <c r="H394" i="7" s="1"/>
  <c r="H153" i="7" a="1"/>
  <c r="H153" i="7" s="1"/>
  <c r="H303" i="7" a="1"/>
  <c r="H303" i="7" s="1"/>
  <c r="H450" i="7" a="1"/>
  <c r="H450" i="7" s="1"/>
  <c r="H97" i="7" a="1"/>
  <c r="H97" i="7" s="1"/>
  <c r="H224" i="7" a="1"/>
  <c r="H224" i="7" s="1"/>
  <c r="H350" i="7" a="1"/>
  <c r="H350" i="7" s="1"/>
  <c r="H501" i="7" a="1"/>
  <c r="H501" i="7" s="1"/>
  <c r="H474" i="7" a="1"/>
  <c r="H474" i="7" s="1"/>
  <c r="H111" i="7" a="1"/>
  <c r="H111" i="7" s="1"/>
  <c r="H237" i="7" a="1"/>
  <c r="H237" i="7" s="1"/>
  <c r="H374" i="7" a="1"/>
  <c r="H374" i="7" s="1"/>
  <c r="H11" i="7" a="1"/>
  <c r="H11" i="7" s="1"/>
  <c r="H44" i="7" a="1"/>
  <c r="H44" i="7" s="1"/>
  <c r="H16" i="7" a="1"/>
  <c r="H16" i="7" s="1"/>
  <c r="H135" i="7" a="1"/>
  <c r="H135" i="7" s="1"/>
  <c r="H274" i="7" a="1"/>
  <c r="H274" i="7" s="1"/>
  <c r="H422" i="7" a="1"/>
  <c r="H422" i="7" s="1"/>
  <c r="H67" i="7" a="1"/>
  <c r="H67" i="7" s="1"/>
  <c r="H206" i="7" a="1"/>
  <c r="H206" i="7" s="1"/>
  <c r="H344" i="7" a="1"/>
  <c r="H344" i="7" s="1"/>
  <c r="H445" i="7" a="1"/>
  <c r="H445" i="7" s="1"/>
  <c r="H69" i="7" a="1"/>
  <c r="H69" i="7" s="1"/>
  <c r="H219" i="7" a="1"/>
  <c r="H219" i="7" s="1"/>
  <c r="H357" i="7" a="1"/>
  <c r="H357" i="7" s="1"/>
  <c r="H489" i="7" a="1"/>
  <c r="H489" i="7" s="1"/>
  <c r="H49" i="7" a="1"/>
  <c r="H49" i="7" s="1"/>
  <c r="H198" i="7" a="1"/>
  <c r="H198" i="7" s="1"/>
  <c r="H336" i="7" a="1"/>
  <c r="H336" i="7" s="1"/>
  <c r="H480" i="7" a="1"/>
  <c r="H480" i="7" s="1"/>
  <c r="H9" i="7" a="1"/>
  <c r="H9" i="7" s="1"/>
  <c r="H28" i="7" a="1"/>
  <c r="H28" i="7" s="1"/>
  <c r="H147" i="7" a="1"/>
  <c r="H147" i="7" s="1"/>
  <c r="H285" i="7" a="1"/>
  <c r="H285" i="7" s="1"/>
  <c r="H355" i="7" a="1"/>
  <c r="H355" i="7" s="1"/>
  <c r="H149" i="7" a="1"/>
  <c r="H149" i="7" s="1"/>
  <c r="H298" i="7" a="1"/>
  <c r="H298" i="7" s="1"/>
  <c r="H457" i="7" a="1"/>
  <c r="H457" i="7" s="1"/>
  <c r="H92" i="7" a="1"/>
  <c r="H92" i="7" s="1"/>
  <c r="H230" i="7" a="1"/>
  <c r="H230" i="7" s="1"/>
  <c r="H368" i="7" a="1"/>
  <c r="H368" i="7" s="1"/>
  <c r="H497" i="7" a="1"/>
  <c r="H497" i="7" s="1"/>
  <c r="H59" i="7" a="1"/>
  <c r="H59" i="7" s="1"/>
  <c r="H208" i="7" a="1"/>
  <c r="H208" i="7" s="1"/>
  <c r="H346" i="7" a="1"/>
  <c r="H346" i="7" s="1"/>
  <c r="H10" i="7" a="1"/>
  <c r="H10" i="7" s="1"/>
  <c r="H7" i="7" a="1"/>
  <c r="H7" i="7" s="1"/>
  <c r="H90" i="7" a="1"/>
  <c r="H90" i="7" s="1"/>
  <c r="H228" i="7" a="1"/>
  <c r="H228" i="7" s="1"/>
  <c r="H366" i="7" a="1"/>
  <c r="H366" i="7" s="1"/>
  <c r="H13" i="7" a="1"/>
  <c r="H13" i="7" s="1"/>
  <c r="H160" i="7" a="1"/>
  <c r="H160" i="7" s="1"/>
  <c r="H310" i="7" a="1"/>
  <c r="H310" i="7" s="1"/>
  <c r="H468" i="7" a="1"/>
  <c r="H468" i="7" s="1"/>
  <c r="H24" i="7" a="1"/>
  <c r="H24" i="7" s="1"/>
  <c r="H30" i="7" a="1"/>
  <c r="H30" i="7" s="1"/>
  <c r="H170" i="7" a="1"/>
  <c r="H170" i="7" s="1"/>
  <c r="H320" i="7" a="1"/>
  <c r="H320" i="7" s="1"/>
  <c r="H455" i="7" a="1"/>
  <c r="H455" i="7" s="1"/>
  <c r="H102" i="7" a="1"/>
  <c r="H102" i="7" s="1"/>
  <c r="H172" i="7" a="1"/>
  <c r="H172" i="7" s="1"/>
  <c r="H322" i="7" a="1"/>
  <c r="H322" i="7" s="1"/>
  <c r="H478" i="7" a="1"/>
  <c r="H478" i="7" s="1"/>
  <c r="H116" i="7" a="1"/>
  <c r="H116" i="7" s="1"/>
  <c r="H254" i="7" a="1"/>
  <c r="H254" i="7" s="1"/>
  <c r="H391" i="7" a="1"/>
  <c r="H391" i="7" s="1"/>
  <c r="H81" i="7" a="1"/>
  <c r="H81" i="7" s="1"/>
  <c r="H231" i="7" a="1"/>
  <c r="H231" i="7" s="1"/>
  <c r="H380" i="7" a="1"/>
  <c r="H380" i="7" s="1"/>
  <c r="H36" i="7" a="1"/>
  <c r="H36" i="7" s="1"/>
  <c r="H45" i="7" a="1"/>
  <c r="H45" i="7" s="1"/>
  <c r="H182" i="7" a="1"/>
  <c r="H182" i="7" s="1"/>
  <c r="H332" i="7" a="1"/>
  <c r="H332" i="7" s="1"/>
  <c r="H389" i="7" a="1"/>
  <c r="H389" i="7" s="1"/>
  <c r="H47" i="7" a="1"/>
  <c r="H47" i="7" s="1"/>
  <c r="H184" i="7" a="1"/>
  <c r="H184" i="7" s="1"/>
  <c r="H334" i="7" a="1"/>
  <c r="H334" i="7" s="1"/>
  <c r="H488" i="7" a="1"/>
  <c r="H488" i="7" s="1"/>
  <c r="H128" i="7" a="1"/>
  <c r="H128" i="7" s="1"/>
  <c r="H266" i="7" a="1"/>
  <c r="H266" i="7" s="1"/>
  <c r="H403" i="7" a="1"/>
  <c r="H403" i="7" s="1"/>
  <c r="H93" i="7" a="1"/>
  <c r="H93" i="7" s="1"/>
  <c r="H243" i="7" a="1"/>
  <c r="H243" i="7" s="1"/>
  <c r="H3" i="7" a="1"/>
  <c r="H3" i="7" s="1"/>
  <c r="H66" i="7" a="1"/>
  <c r="H66" i="7" s="1"/>
  <c r="H136" i="7" a="1"/>
  <c r="H136" i="7" s="1"/>
  <c r="H275" i="7" a="1"/>
  <c r="H275" i="7"/>
  <c r="H412" i="7" a="1"/>
  <c r="H412" i="7" s="1"/>
  <c r="H68" i="7" a="1"/>
  <c r="H68" i="7" s="1"/>
  <c r="H218" i="7" a="1"/>
  <c r="H218" i="7" s="1"/>
  <c r="H367" i="7" a="1"/>
  <c r="H367" i="7" s="1"/>
  <c r="H150" i="7" a="1"/>
  <c r="H150" i="7" s="1"/>
  <c r="H288" i="7" a="1"/>
  <c r="H288" i="7" s="1"/>
  <c r="H425" i="7" a="1"/>
  <c r="H425" i="7" s="1"/>
  <c r="H14" i="7" a="1"/>
  <c r="H14" i="7" s="1"/>
  <c r="H78" i="7" a="1"/>
  <c r="H78" i="7" s="1"/>
  <c r="H216" i="7" a="1"/>
  <c r="H216" i="7" s="1"/>
  <c r="H423" i="7" a="1"/>
  <c r="H423" i="7" s="1"/>
  <c r="H80" i="7" a="1"/>
  <c r="H80" i="7" s="1"/>
  <c r="H229" i="7" a="1"/>
  <c r="H229" i="7" s="1"/>
  <c r="H378" i="7" a="1"/>
  <c r="H378" i="7" s="1"/>
  <c r="H161" i="7" a="1"/>
  <c r="H161" i="7" s="1"/>
  <c r="H299" i="7" a="1"/>
  <c r="H299" i="7" s="1"/>
  <c r="H436" i="7" a="1"/>
  <c r="H436" i="7" s="1"/>
  <c r="H139" i="7" a="1"/>
  <c r="H139" i="7" s="1"/>
  <c r="H278" i="7" a="1"/>
  <c r="H278" i="7" s="1"/>
  <c r="H26" i="7" a="1"/>
  <c r="H26" i="7" s="1"/>
  <c r="H4" i="7" a="1"/>
  <c r="H4" i="7" s="1"/>
  <c r="H101" i="7" a="1"/>
  <c r="H101" i="7" s="1"/>
  <c r="H239" i="7" a="1"/>
  <c r="H239" i="7" s="1"/>
  <c r="H309" i="7" a="1"/>
  <c r="H309" i="7" s="1"/>
  <c r="H444" i="7" a="1"/>
  <c r="H444" i="7" s="1"/>
  <c r="H103" i="7" a="1"/>
  <c r="H103" i="7" s="1"/>
  <c r="H253" i="7" a="1"/>
  <c r="H253" i="7" s="1"/>
  <c r="H402" i="7" a="1"/>
  <c r="H402" i="7" s="1"/>
  <c r="H34" i="7" a="1"/>
  <c r="H34" i="7" s="1"/>
  <c r="H185" i="7" a="1"/>
  <c r="H185" i="7" s="1"/>
  <c r="H323" i="7" a="1"/>
  <c r="H323" i="7" s="1"/>
  <c r="H458" i="7" a="1"/>
  <c r="H458" i="7" s="1"/>
  <c r="H162" i="7" a="1"/>
  <c r="H162" i="7" s="1"/>
  <c r="H300" i="7" a="1"/>
  <c r="H300" i="7" s="1"/>
  <c r="H447" i="7" a="1"/>
  <c r="H447" i="7" s="1"/>
  <c r="H32" i="7" a="1"/>
  <c r="H32" i="7" s="1"/>
  <c r="H411" i="7" a="1"/>
  <c r="H411" i="7" s="1"/>
  <c r="H46" i="7" a="1"/>
  <c r="H46" i="7" s="1"/>
  <c r="H195" i="7" a="1"/>
  <c r="H195" i="7" s="1"/>
  <c r="H333" i="7" a="1"/>
  <c r="H333" i="7" s="1"/>
  <c r="H467" i="7" a="1"/>
  <c r="H467" i="7" s="1"/>
  <c r="H127" i="7" a="1"/>
  <c r="H127" i="7" s="1"/>
  <c r="H276" i="7" a="1"/>
  <c r="H276" i="7" s="1"/>
  <c r="H424" i="7" a="1"/>
  <c r="H424" i="7" s="1"/>
  <c r="H58" i="7" a="1"/>
  <c r="H58" i="7" s="1"/>
  <c r="H207" i="7" a="1"/>
  <c r="H207" i="7" s="1"/>
  <c r="H345" i="7" a="1"/>
  <c r="H345" i="7" s="1"/>
  <c r="H479" i="7" a="1"/>
  <c r="H479" i="7" s="1"/>
  <c r="H400" i="7" a="1"/>
  <c r="H400" i="7" s="1"/>
  <c r="H399" i="7" l="1" a="1"/>
  <c r="H399" i="7" s="1"/>
  <c r="H142" i="7" a="1"/>
  <c r="H142" i="7" s="1"/>
  <c r="H106" i="7" a="1"/>
  <c r="H106" i="7" s="1"/>
  <c r="H165" i="7" a="1"/>
  <c r="H165" i="7" s="1"/>
  <c r="H107" i="7" a="1"/>
  <c r="H107" i="7" s="1"/>
  <c r="H19" i="7" a="1"/>
  <c r="H19" i="7" s="1"/>
  <c r="H145" i="7" a="1"/>
  <c r="H145" i="7" s="1"/>
  <c r="H72" i="7" a="1"/>
  <c r="H72" i="7" s="1"/>
  <c r="H272" i="7" a="1"/>
  <c r="H272" i="7" s="1"/>
  <c r="H166" i="7" a="1"/>
  <c r="H166" i="7" s="1"/>
  <c r="H15" i="7" a="1"/>
  <c r="H15" i="7" s="1"/>
  <c r="H482" i="7" a="1"/>
  <c r="H482" i="7" s="1"/>
  <c r="H129" i="7" a="1"/>
  <c r="H129" i="7" s="1"/>
  <c r="H132" i="7" a="1"/>
  <c r="H132" i="7" s="1"/>
  <c r="H493" i="7" a="1"/>
  <c r="H493" i="7" s="1"/>
  <c r="H415" i="7" a="1"/>
  <c r="H415" i="7" s="1"/>
  <c r="H22" i="7" a="1"/>
  <c r="H22" i="7" s="1"/>
  <c r="H227" i="7" a="1"/>
  <c r="H227" i="7" s="1"/>
  <c r="H476" i="7" a="1"/>
  <c r="H476" i="7" s="1"/>
  <c r="H263" i="7" a="1"/>
  <c r="H263" i="7" s="1"/>
  <c r="H171" i="7" a="1"/>
  <c r="H171" i="7" s="1"/>
  <c r="H286" i="7" a="1"/>
  <c r="H286" i="7" s="1"/>
  <c r="H495" i="7" a="1"/>
  <c r="H495" i="7" s="1"/>
  <c r="H252" i="7" a="1"/>
  <c r="H252" i="7" s="1"/>
  <c r="H33" i="7" a="1"/>
  <c r="H33" i="7" s="1"/>
  <c r="H443" i="7" a="1"/>
  <c r="H443" i="7" s="1"/>
  <c r="H217" i="7" a="1"/>
  <c r="H217" i="7" s="1"/>
  <c r="H287" i="7" a="1"/>
  <c r="H287" i="7" s="1"/>
  <c r="H329" i="7" a="1"/>
  <c r="H329" i="7" s="1"/>
  <c r="H82" i="7" a="1"/>
  <c r="H82" i="7" s="1"/>
  <c r="H339" i="7" a="1"/>
  <c r="H339" i="7" s="1"/>
  <c r="H413" i="7" a="1"/>
  <c r="H413" i="7" s="1"/>
  <c r="H370" i="7" a="1"/>
  <c r="H370" i="7" s="1"/>
  <c r="H330" i="7" a="1"/>
  <c r="H330" i="7" s="1"/>
  <c r="H460" i="7" a="1"/>
  <c r="H460" i="7" s="1"/>
  <c r="H133" i="7" a="1"/>
  <c r="H133" i="7" s="1"/>
  <c r="H498" i="7" a="1"/>
  <c r="H498" i="7" s="1"/>
  <c r="H383" i="7" a="1"/>
  <c r="H383" i="7" s="1"/>
  <c r="H100" i="7" a="1"/>
  <c r="H100" i="7" s="1"/>
  <c r="H326" i="7" a="1"/>
  <c r="H326" i="7" s="1"/>
  <c r="H385" i="7" a="1"/>
  <c r="H385" i="7" s="1"/>
  <c r="H437" i="7" a="1"/>
  <c r="H437" i="7" s="1"/>
  <c r="H472" i="7" a="1"/>
  <c r="H472" i="7" s="1"/>
  <c r="H351" i="7" a="1"/>
  <c r="H351" i="7" s="1"/>
  <c r="H151" i="7" a="1"/>
  <c r="H151" i="7" s="1"/>
  <c r="H406" i="7" a="1"/>
  <c r="H406" i="7" s="1"/>
  <c r="H257" i="7" a="1"/>
  <c r="H257" i="7" s="1"/>
  <c r="H41" i="7" a="1"/>
  <c r="H41" i="7" s="1"/>
  <c r="H12" i="7" a="1"/>
  <c r="H12" i="7" s="1"/>
  <c r="H125" i="7" a="1"/>
  <c r="H125" i="7" s="1"/>
  <c r="H8" i="7" a="1"/>
  <c r="H8" i="7" s="1"/>
  <c r="H148" i="7" a="1"/>
  <c r="H148" i="7" s="1"/>
  <c r="H354" i="7" a="1"/>
  <c r="H354" i="7" s="1"/>
  <c r="H114" i="7" a="1"/>
  <c r="H114" i="7" s="1"/>
  <c r="H377" i="7" a="1"/>
  <c r="H377" i="7" s="1"/>
  <c r="H308" i="7" a="1"/>
  <c r="H308" i="7" s="1"/>
  <c r="H79" i="7" a="1"/>
  <c r="H79" i="7" s="1"/>
  <c r="H137" i="7" a="1"/>
  <c r="H137" i="7" s="1"/>
  <c r="H179" i="7" a="1"/>
  <c r="H179" i="7" s="1"/>
  <c r="H392" i="7" a="1"/>
  <c r="H392" i="7" s="1"/>
  <c r="H201" i="7" a="1"/>
  <c r="H201" i="7" s="1"/>
  <c r="H321" i="7" a="1"/>
  <c r="H321" i="7" s="1"/>
  <c r="H233" i="7" a="1"/>
  <c r="H233" i="7" s="1"/>
  <c r="H192" i="7" a="1"/>
  <c r="H192" i="7" s="1"/>
  <c r="H325" i="7" a="1"/>
  <c r="H325" i="7" s="1"/>
  <c r="H430" i="7" a="1"/>
  <c r="H430" i="7" s="1"/>
  <c r="H267" i="7" a="1"/>
  <c r="H267" i="7" s="1"/>
  <c r="H234" i="7" a="1"/>
  <c r="H234" i="7" s="1"/>
  <c r="H432" i="7" a="1"/>
  <c r="H432" i="7" s="1"/>
  <c r="H188" i="7" a="1"/>
  <c r="H188" i="7" s="1"/>
  <c r="H236" i="7" a="1"/>
  <c r="H236" i="7" s="1"/>
  <c r="H186" i="7" a="1"/>
  <c r="H186" i="7" s="1"/>
  <c r="H349" i="7" a="1"/>
  <c r="H349" i="7" s="1"/>
  <c r="H202" i="7" a="1"/>
  <c r="H202" i="7" s="1"/>
  <c r="H414" i="7" a="1"/>
  <c r="H414" i="7" s="1"/>
  <c r="H279" i="7" a="1"/>
  <c r="H279" i="7" s="1"/>
  <c r="H85" i="7" a="1"/>
  <c r="H85" i="7" s="1"/>
  <c r="H342" i="7" a="1"/>
  <c r="H342" i="7" s="1"/>
  <c r="H251" i="7" a="1"/>
  <c r="H251" i="7" s="1"/>
  <c r="H5" i="7" a="1"/>
  <c r="H5" i="7" s="1"/>
  <c r="H388" i="7" a="1"/>
  <c r="H388" i="7" s="1"/>
  <c r="H365" i="7" a="1"/>
  <c r="H365" i="7" s="1"/>
  <c r="H205" i="7" a="1"/>
  <c r="H205" i="7" s="1"/>
  <c r="H466" i="7" a="1"/>
  <c r="H466" i="7" s="1"/>
  <c r="H240" i="7" a="1"/>
  <c r="H240" i="7" s="1"/>
  <c r="H158" i="7" a="1"/>
  <c r="H158" i="7" s="1"/>
  <c r="H434" i="7" a="1"/>
  <c r="H434" i="7" s="1"/>
  <c r="H487" i="7" a="1"/>
  <c r="H487" i="7" s="1"/>
  <c r="H53" i="7" a="1"/>
  <c r="H53" i="7" s="1"/>
  <c r="H105" i="7" a="1"/>
  <c r="H105" i="7" s="1"/>
  <c r="H74" i="7" a="1"/>
  <c r="H74" i="7" s="1"/>
  <c r="H194" i="7" a="1"/>
  <c r="H194" i="7" s="1"/>
  <c r="H83" i="7" a="1"/>
  <c r="H83" i="7" s="1"/>
  <c r="H64" i="7" a="1"/>
  <c r="H64" i="7" s="1"/>
  <c r="H175" i="7" a="1"/>
  <c r="H175" i="7" s="1"/>
  <c r="H304" i="7" a="1"/>
  <c r="H304" i="7" s="1"/>
  <c r="H265" i="7" a="1"/>
  <c r="H265" i="7" s="1"/>
  <c r="H84" i="7" a="1"/>
  <c r="H84" i="7" s="1"/>
  <c r="H295" i="7" a="1"/>
  <c r="H295" i="7" s="1"/>
  <c r="H21" i="7" a="1"/>
  <c r="H21" i="7" s="1"/>
  <c r="H98" i="7" a="1"/>
  <c r="H98" i="7" s="1"/>
  <c r="H469" i="7" a="1"/>
  <c r="H469" i="7" s="1"/>
  <c r="H189" i="7" a="1"/>
  <c r="H189" i="7" s="1"/>
  <c r="H75" i="7" a="1"/>
  <c r="H75" i="7" s="1"/>
  <c r="H57" i="7" a="1"/>
  <c r="H57" i="7" s="1"/>
  <c r="H130" i="7" a="1"/>
  <c r="H130" i="7" s="1"/>
  <c r="H273" i="7" a="1"/>
  <c r="H273" i="7" s="1"/>
  <c r="H146" i="7" a="1"/>
  <c r="H146" i="7" s="1"/>
  <c r="H193" i="7" a="1"/>
  <c r="H193" i="7" s="1"/>
  <c r="H43" i="7" a="1"/>
  <c r="H43" i="7" s="1"/>
  <c r="H433" i="7" a="1"/>
  <c r="H433" i="7" s="1"/>
  <c r="H6" i="7" a="1"/>
  <c r="H6" i="7" s="1"/>
  <c r="H296" i="7" a="1"/>
  <c r="H296" i="7" s="1"/>
  <c r="H319" i="7" a="1"/>
  <c r="H319" i="7" s="1"/>
  <c r="H454" i="7" a="1"/>
  <c r="H454" i="7" s="1"/>
  <c r="H77" i="7" a="1"/>
  <c r="H77" i="7" s="1"/>
  <c r="H29" i="7" a="1"/>
  <c r="H29" i="7" s="1"/>
  <c r="H307" i="7" a="1"/>
  <c r="H307" i="7" s="1"/>
  <c r="H311" i="7" a="1"/>
  <c r="H311" i="7" s="1"/>
  <c r="H226" i="7" a="1"/>
  <c r="H226" i="7" s="1"/>
  <c r="H215" i="7" a="1"/>
  <c r="H215" i="7" s="1"/>
  <c r="H464" i="7" a="1"/>
  <c r="H464" i="7" s="1"/>
  <c r="H376" i="7" a="1"/>
  <c r="H376" i="7" s="1"/>
  <c r="H381" i="7" a="1"/>
  <c r="H381" i="7" s="1"/>
  <c r="H315" i="7" a="1"/>
  <c r="H315" i="7" s="1"/>
  <c r="H340" i="7" a="1"/>
  <c r="H340" i="7" s="1"/>
  <c r="H91" i="7" a="1"/>
  <c r="H91" i="7" s="1"/>
  <c r="H173" i="7" a="1"/>
  <c r="H173" i="7" s="1"/>
  <c r="H486" i="7" a="1"/>
  <c r="H486" i="7" s="1"/>
  <c r="H359" i="7" a="1"/>
  <c r="H359" i="7" s="1"/>
  <c r="H421" i="7" a="1"/>
  <c r="H421" i="7" s="1"/>
  <c r="H442" i="7" a="1"/>
  <c r="H442" i="7" s="1"/>
  <c r="H88" i="7" a="1"/>
  <c r="H88" i="7" s="1"/>
  <c r="H55" i="7" a="1"/>
  <c r="H55" i="7" s="1"/>
  <c r="H167" i="7" a="1"/>
  <c r="H167" i="7" s="1"/>
  <c r="H331" i="7" a="1"/>
  <c r="H331" i="7" s="1"/>
  <c r="H3" i="9"/>
  <c r="H15" i="9"/>
  <c r="H27" i="9"/>
  <c r="H39" i="9"/>
  <c r="H51" i="9"/>
  <c r="H63" i="9"/>
  <c r="H75" i="9"/>
  <c r="H87" i="9"/>
  <c r="H99" i="9"/>
  <c r="H111" i="9"/>
  <c r="H4" i="9"/>
  <c r="H16" i="9"/>
  <c r="H28" i="9"/>
  <c r="H40" i="9"/>
  <c r="H52" i="9"/>
  <c r="H64" i="9"/>
  <c r="H76" i="9"/>
  <c r="H88" i="9"/>
  <c r="H100" i="9"/>
  <c r="H5" i="9"/>
  <c r="H17" i="9"/>
  <c r="H29" i="9"/>
  <c r="H41" i="9"/>
  <c r="H53" i="9"/>
  <c r="H65" i="9"/>
  <c r="H77" i="9"/>
  <c r="H89" i="9"/>
  <c r="H101" i="9"/>
  <c r="H6" i="9"/>
  <c r="H18" i="9"/>
  <c r="H30" i="9"/>
  <c r="H42" i="9"/>
  <c r="H54" i="9"/>
  <c r="H66" i="9"/>
  <c r="H78" i="9"/>
  <c r="H90" i="9"/>
  <c r="H102" i="9"/>
  <c r="H7" i="9"/>
  <c r="H19" i="9"/>
  <c r="H31" i="9"/>
  <c r="H43" i="9"/>
  <c r="H55" i="9"/>
  <c r="H67" i="9"/>
  <c r="H79" i="9"/>
  <c r="H91" i="9"/>
  <c r="H103" i="9"/>
  <c r="H8" i="9"/>
  <c r="H20" i="9"/>
  <c r="H32" i="9"/>
  <c r="H44" i="9"/>
  <c r="H56" i="9"/>
  <c r="H68" i="9"/>
  <c r="H80" i="9"/>
  <c r="H92" i="9"/>
  <c r="H104" i="9"/>
  <c r="H9" i="9"/>
  <c r="H21" i="9"/>
  <c r="H33" i="9"/>
  <c r="H45" i="9"/>
  <c r="H57" i="9"/>
  <c r="H69" i="9"/>
  <c r="H81" i="9"/>
  <c r="H93" i="9"/>
  <c r="H105" i="9"/>
  <c r="H10" i="9"/>
  <c r="H22" i="9"/>
  <c r="H34" i="9"/>
  <c r="H46" i="9"/>
  <c r="H58" i="9"/>
  <c r="H70" i="9"/>
  <c r="H82" i="9"/>
  <c r="H94" i="9"/>
  <c r="H106" i="9"/>
  <c r="H11" i="9"/>
  <c r="H23" i="9"/>
  <c r="H35" i="9"/>
  <c r="H47" i="9"/>
  <c r="H59" i="9"/>
  <c r="H71" i="9"/>
  <c r="H83" i="9"/>
  <c r="H95" i="9"/>
  <c r="H107" i="9"/>
  <c r="H12" i="9"/>
  <c r="H24" i="9"/>
  <c r="H36" i="9"/>
  <c r="H48" i="9"/>
  <c r="H60" i="9"/>
  <c r="H72" i="9"/>
  <c r="H84" i="9"/>
  <c r="H96" i="9"/>
  <c r="H108" i="9"/>
  <c r="H13" i="9"/>
  <c r="H25" i="9"/>
  <c r="H37" i="9"/>
  <c r="H49" i="9"/>
  <c r="H61" i="9"/>
  <c r="H73" i="9"/>
  <c r="H85" i="9"/>
  <c r="H97" i="9"/>
  <c r="H109" i="9"/>
  <c r="H14" i="9"/>
  <c r="H26" i="9"/>
  <c r="H38" i="9"/>
  <c r="H50" i="9"/>
  <c r="H62" i="9"/>
  <c r="H74" i="9"/>
  <c r="H86" i="9"/>
  <c r="H98" i="9"/>
  <c r="H110" i="9"/>
  <c r="H2" i="9" l="1"/>
  <c r="E6" i="7"/>
  <c r="E18" i="7"/>
  <c r="E30" i="7"/>
  <c r="E42" i="7"/>
  <c r="E54" i="7"/>
  <c r="E66" i="7"/>
  <c r="E78" i="7"/>
  <c r="E90" i="7"/>
  <c r="E102" i="7"/>
  <c r="E114" i="7"/>
  <c r="E126" i="7"/>
  <c r="E138" i="7"/>
  <c r="E150" i="7"/>
  <c r="E162" i="7"/>
  <c r="E174" i="7"/>
  <c r="E186" i="7"/>
  <c r="E198" i="7"/>
  <c r="E210" i="7"/>
  <c r="E222" i="7"/>
  <c r="E234" i="7"/>
  <c r="E246" i="7"/>
  <c r="E258" i="7"/>
  <c r="E270" i="7"/>
  <c r="E282" i="7"/>
  <c r="E294" i="7"/>
  <c r="E306" i="7"/>
  <c r="E318" i="7"/>
  <c r="E330" i="7"/>
  <c r="E342" i="7"/>
  <c r="E354" i="7"/>
  <c r="E366" i="7"/>
  <c r="E378" i="7"/>
  <c r="E390" i="7"/>
  <c r="E402" i="7"/>
  <c r="E414" i="7"/>
  <c r="E426" i="7"/>
  <c r="E438" i="7"/>
  <c r="E450" i="7"/>
  <c r="E462" i="7"/>
  <c r="E474" i="7"/>
  <c r="E486" i="7"/>
  <c r="E498" i="7"/>
  <c r="E7" i="7"/>
  <c r="E20" i="7"/>
  <c r="E33" i="7"/>
  <c r="E46" i="7"/>
  <c r="E59" i="7"/>
  <c r="E72" i="7"/>
  <c r="E85" i="7"/>
  <c r="E98" i="7"/>
  <c r="E111" i="7"/>
  <c r="E124" i="7"/>
  <c r="E137" i="7"/>
  <c r="E151" i="7"/>
  <c r="E164" i="7"/>
  <c r="E177" i="7"/>
  <c r="E190" i="7"/>
  <c r="E203" i="7"/>
  <c r="E216" i="7"/>
  <c r="E229" i="7"/>
  <c r="E242" i="7"/>
  <c r="E255" i="7"/>
  <c r="E268" i="7"/>
  <c r="E281" i="7"/>
  <c r="E295" i="7"/>
  <c r="E308" i="7"/>
  <c r="E321" i="7"/>
  <c r="E334" i="7"/>
  <c r="E347" i="7"/>
  <c r="E360" i="7"/>
  <c r="E373" i="7"/>
  <c r="E386" i="7"/>
  <c r="E399" i="7"/>
  <c r="E412" i="7"/>
  <c r="E425" i="7"/>
  <c r="E439" i="7"/>
  <c r="E452" i="7"/>
  <c r="E465" i="7"/>
  <c r="E478" i="7"/>
  <c r="E491" i="7"/>
  <c r="E8" i="7"/>
  <c r="E21" i="7"/>
  <c r="E34" i="7"/>
  <c r="E47" i="7"/>
  <c r="E60" i="7"/>
  <c r="E73" i="7"/>
  <c r="E86" i="7"/>
  <c r="E99" i="7"/>
  <c r="E112" i="7"/>
  <c r="E125" i="7"/>
  <c r="E139" i="7"/>
  <c r="E152" i="7"/>
  <c r="E165" i="7"/>
  <c r="E178" i="7"/>
  <c r="E191" i="7"/>
  <c r="E204" i="7"/>
  <c r="E217" i="7"/>
  <c r="E230" i="7"/>
  <c r="E243" i="7"/>
  <c r="E256" i="7"/>
  <c r="E269" i="7"/>
  <c r="E283" i="7"/>
  <c r="E296" i="7"/>
  <c r="E309" i="7"/>
  <c r="E322" i="7"/>
  <c r="E335" i="7"/>
  <c r="E348" i="7"/>
  <c r="E361" i="7"/>
  <c r="E374" i="7"/>
  <c r="E387" i="7"/>
  <c r="E400" i="7"/>
  <c r="E413" i="7"/>
  <c r="E427" i="7"/>
  <c r="E440" i="7"/>
  <c r="E453" i="7"/>
  <c r="E466" i="7"/>
  <c r="E479" i="7"/>
  <c r="E492" i="7"/>
  <c r="E9" i="7"/>
  <c r="E22" i="7"/>
  <c r="E35" i="7"/>
  <c r="E48" i="7"/>
  <c r="E61" i="7"/>
  <c r="E74" i="7"/>
  <c r="E87" i="7"/>
  <c r="E100" i="7"/>
  <c r="E113" i="7"/>
  <c r="E127" i="7"/>
  <c r="E140" i="7"/>
  <c r="E153" i="7"/>
  <c r="E166" i="7"/>
  <c r="E179" i="7"/>
  <c r="E192" i="7"/>
  <c r="E205" i="7"/>
  <c r="E218" i="7"/>
  <c r="E231" i="7"/>
  <c r="E244" i="7"/>
  <c r="E257" i="7"/>
  <c r="E271" i="7"/>
  <c r="E284" i="7"/>
  <c r="E297" i="7"/>
  <c r="E310" i="7"/>
  <c r="E323" i="7"/>
  <c r="E336" i="7"/>
  <c r="E349" i="7"/>
  <c r="E362" i="7"/>
  <c r="E375" i="7"/>
  <c r="E388" i="7"/>
  <c r="E401" i="7"/>
  <c r="E415" i="7"/>
  <c r="E428" i="7"/>
  <c r="E441" i="7"/>
  <c r="E454" i="7"/>
  <c r="E467" i="7"/>
  <c r="E480" i="7"/>
  <c r="E493" i="7"/>
  <c r="E10" i="7"/>
  <c r="E23" i="7"/>
  <c r="E36" i="7"/>
  <c r="E49" i="7"/>
  <c r="E62" i="7"/>
  <c r="E75" i="7"/>
  <c r="E88" i="7"/>
  <c r="E101" i="7"/>
  <c r="E115" i="7"/>
  <c r="E128" i="7"/>
  <c r="E141" i="7"/>
  <c r="E154" i="7"/>
  <c r="E167" i="7"/>
  <c r="E180" i="7"/>
  <c r="E193" i="7"/>
  <c r="E206" i="7"/>
  <c r="E219" i="7"/>
  <c r="E232" i="7"/>
  <c r="E245" i="7"/>
  <c r="E259" i="7"/>
  <c r="E272" i="7"/>
  <c r="E285" i="7"/>
  <c r="E298" i="7"/>
  <c r="E311" i="7"/>
  <c r="E324" i="7"/>
  <c r="E337" i="7"/>
  <c r="E350" i="7"/>
  <c r="E363" i="7"/>
  <c r="E376" i="7"/>
  <c r="E389" i="7"/>
  <c r="E403" i="7"/>
  <c r="E416" i="7"/>
  <c r="E429" i="7"/>
  <c r="E442" i="7"/>
  <c r="E455" i="7"/>
  <c r="E468" i="7"/>
  <c r="E481" i="7"/>
  <c r="E494" i="7"/>
  <c r="E11" i="7"/>
  <c r="E24" i="7"/>
  <c r="E37" i="7"/>
  <c r="E50" i="7"/>
  <c r="E63" i="7"/>
  <c r="E76" i="7"/>
  <c r="E89" i="7"/>
  <c r="E103" i="7"/>
  <c r="E116" i="7"/>
  <c r="E129" i="7"/>
  <c r="E142" i="7"/>
  <c r="E155" i="7"/>
  <c r="E168" i="7"/>
  <c r="E181" i="7"/>
  <c r="E194" i="7"/>
  <c r="E207" i="7"/>
  <c r="E220" i="7"/>
  <c r="E233" i="7"/>
  <c r="E247" i="7"/>
  <c r="E260" i="7"/>
  <c r="E273" i="7"/>
  <c r="E286" i="7"/>
  <c r="E299" i="7"/>
  <c r="E312" i="7"/>
  <c r="E325" i="7"/>
  <c r="E338" i="7"/>
  <c r="E351" i="7"/>
  <c r="E364" i="7"/>
  <c r="E377" i="7"/>
  <c r="E391" i="7"/>
  <c r="E404" i="7"/>
  <c r="E417" i="7"/>
  <c r="E430" i="7"/>
  <c r="E443" i="7"/>
  <c r="E456" i="7"/>
  <c r="E469" i="7"/>
  <c r="E482" i="7"/>
  <c r="E495" i="7"/>
  <c r="E12" i="7"/>
  <c r="E25" i="7"/>
  <c r="E38" i="7"/>
  <c r="E51" i="7"/>
  <c r="E64" i="7"/>
  <c r="E77" i="7"/>
  <c r="E91" i="7"/>
  <c r="E104" i="7"/>
  <c r="E117" i="7"/>
  <c r="E130" i="7"/>
  <c r="E143" i="7"/>
  <c r="E156" i="7"/>
  <c r="E169" i="7"/>
  <c r="E182" i="7"/>
  <c r="E195" i="7"/>
  <c r="E208" i="7"/>
  <c r="E221" i="7"/>
  <c r="E235" i="7"/>
  <c r="E248" i="7"/>
  <c r="E261" i="7"/>
  <c r="E274" i="7"/>
  <c r="E287" i="7"/>
  <c r="E300" i="7"/>
  <c r="E313" i="7"/>
  <c r="E326" i="7"/>
  <c r="E339" i="7"/>
  <c r="E352" i="7"/>
  <c r="E365" i="7"/>
  <c r="E379" i="7"/>
  <c r="E392" i="7"/>
  <c r="E405" i="7"/>
  <c r="E418" i="7"/>
  <c r="E431" i="7"/>
  <c r="E444" i="7"/>
  <c r="E457" i="7"/>
  <c r="E470" i="7"/>
  <c r="E483" i="7"/>
  <c r="E496" i="7"/>
  <c r="E13" i="7"/>
  <c r="E26" i="7"/>
  <c r="E39" i="7"/>
  <c r="E52" i="7"/>
  <c r="E65" i="7"/>
  <c r="E79" i="7"/>
  <c r="E92" i="7"/>
  <c r="E105" i="7"/>
  <c r="E118" i="7"/>
  <c r="E131" i="7"/>
  <c r="E144" i="7"/>
  <c r="E157" i="7"/>
  <c r="E170" i="7"/>
  <c r="E183" i="7"/>
  <c r="E196" i="7"/>
  <c r="E209" i="7"/>
  <c r="E223" i="7"/>
  <c r="E236" i="7"/>
  <c r="E249" i="7"/>
  <c r="E262" i="7"/>
  <c r="E275" i="7"/>
  <c r="E288" i="7"/>
  <c r="E301" i="7"/>
  <c r="E314" i="7"/>
  <c r="E327" i="7"/>
  <c r="E340" i="7"/>
  <c r="E353" i="7"/>
  <c r="E367" i="7"/>
  <c r="E380" i="7"/>
  <c r="E393" i="7"/>
  <c r="E406" i="7"/>
  <c r="E419" i="7"/>
  <c r="E432" i="7"/>
  <c r="E445" i="7"/>
  <c r="E458" i="7"/>
  <c r="E471" i="7"/>
  <c r="E484" i="7"/>
  <c r="E497" i="7"/>
  <c r="E14" i="7"/>
  <c r="E27" i="7"/>
  <c r="E40" i="7"/>
  <c r="E53" i="7"/>
  <c r="E67" i="7"/>
  <c r="E80" i="7"/>
  <c r="E93" i="7"/>
  <c r="E106" i="7"/>
  <c r="E119" i="7"/>
  <c r="E132" i="7"/>
  <c r="E145" i="7"/>
  <c r="E158" i="7"/>
  <c r="E171" i="7"/>
  <c r="E184" i="7"/>
  <c r="E197" i="7"/>
  <c r="E211" i="7"/>
  <c r="E224" i="7"/>
  <c r="E237" i="7"/>
  <c r="E250" i="7"/>
  <c r="E263" i="7"/>
  <c r="E276" i="7"/>
  <c r="E289" i="7"/>
  <c r="E302" i="7"/>
  <c r="E315" i="7"/>
  <c r="E328" i="7"/>
  <c r="E341" i="7"/>
  <c r="E355" i="7"/>
  <c r="E368" i="7"/>
  <c r="E381" i="7"/>
  <c r="E394" i="7"/>
  <c r="E407" i="7"/>
  <c r="E420" i="7"/>
  <c r="E433" i="7"/>
  <c r="E446" i="7"/>
  <c r="E459" i="7"/>
  <c r="E472" i="7"/>
  <c r="E485" i="7"/>
  <c r="E499" i="7"/>
  <c r="E15" i="7"/>
  <c r="E28" i="7"/>
  <c r="E41" i="7"/>
  <c r="E55" i="7"/>
  <c r="E68" i="7"/>
  <c r="E81" i="7"/>
  <c r="E94" i="7"/>
  <c r="E107" i="7"/>
  <c r="E120" i="7"/>
  <c r="E133" i="7"/>
  <c r="E146" i="7"/>
  <c r="E159" i="7"/>
  <c r="E172" i="7"/>
  <c r="E185" i="7"/>
  <c r="E199" i="7"/>
  <c r="E212" i="7"/>
  <c r="E225" i="7"/>
  <c r="E238" i="7"/>
  <c r="E251" i="7"/>
  <c r="E264" i="7"/>
  <c r="E277" i="7"/>
  <c r="E290" i="7"/>
  <c r="E303" i="7"/>
  <c r="E316" i="7"/>
  <c r="E329" i="7"/>
  <c r="E343" i="7"/>
  <c r="E356" i="7"/>
  <c r="E369" i="7"/>
  <c r="E382" i="7"/>
  <c r="E395" i="7"/>
  <c r="E408" i="7"/>
  <c r="E421" i="7"/>
  <c r="E434" i="7"/>
  <c r="E447" i="7"/>
  <c r="E460" i="7"/>
  <c r="E473" i="7"/>
  <c r="E487" i="7"/>
  <c r="E500" i="7"/>
  <c r="E3" i="7"/>
  <c r="E16" i="7"/>
  <c r="E29" i="7"/>
  <c r="E43" i="7"/>
  <c r="E56" i="7"/>
  <c r="E69" i="7"/>
  <c r="E82" i="7"/>
  <c r="E95" i="7"/>
  <c r="E108" i="7"/>
  <c r="E121" i="7"/>
  <c r="E134" i="7"/>
  <c r="E147" i="7"/>
  <c r="E160" i="7"/>
  <c r="E173" i="7"/>
  <c r="E187" i="7"/>
  <c r="E200" i="7"/>
  <c r="E213" i="7"/>
  <c r="E226" i="7"/>
  <c r="E239" i="7"/>
  <c r="E252" i="7"/>
  <c r="E265" i="7"/>
  <c r="E278" i="7"/>
  <c r="E291" i="7"/>
  <c r="E304" i="7"/>
  <c r="E317" i="7"/>
  <c r="E331" i="7"/>
  <c r="E344" i="7"/>
  <c r="E357" i="7"/>
  <c r="E370" i="7"/>
  <c r="E383" i="7"/>
  <c r="E396" i="7"/>
  <c r="E409" i="7"/>
  <c r="E422" i="7"/>
  <c r="E435" i="7"/>
  <c r="E448" i="7"/>
  <c r="E461" i="7"/>
  <c r="E475" i="7"/>
  <c r="E488" i="7"/>
  <c r="E501" i="7"/>
  <c r="E4" i="7"/>
  <c r="E17" i="7"/>
  <c r="E31" i="7"/>
  <c r="E44" i="7"/>
  <c r="E57" i="7"/>
  <c r="E70" i="7"/>
  <c r="E83" i="7"/>
  <c r="E96" i="7"/>
  <c r="E109" i="7"/>
  <c r="E122" i="7"/>
  <c r="E135" i="7"/>
  <c r="E148" i="7"/>
  <c r="E161" i="7"/>
  <c r="E175" i="7"/>
  <c r="E188" i="7"/>
  <c r="E201" i="7"/>
  <c r="E214" i="7"/>
  <c r="E227" i="7"/>
  <c r="E240" i="7"/>
  <c r="E253" i="7"/>
  <c r="E266" i="7"/>
  <c r="E279" i="7"/>
  <c r="E292" i="7"/>
  <c r="E305" i="7"/>
  <c r="E319" i="7"/>
  <c r="E332" i="7"/>
  <c r="E345" i="7"/>
  <c r="E358" i="7"/>
  <c r="E371" i="7"/>
  <c r="E384" i="7"/>
  <c r="E397" i="7"/>
  <c r="E410" i="7"/>
  <c r="E423" i="7"/>
  <c r="E436" i="7"/>
  <c r="E449" i="7"/>
  <c r="E463" i="7"/>
  <c r="E476" i="7"/>
  <c r="E489" i="7"/>
  <c r="E5" i="7"/>
  <c r="E19" i="7"/>
  <c r="E32" i="7"/>
  <c r="E45" i="7"/>
  <c r="E58" i="7"/>
  <c r="E71" i="7"/>
  <c r="E84" i="7"/>
  <c r="E97" i="7"/>
  <c r="E110" i="7"/>
  <c r="E123" i="7"/>
  <c r="E136" i="7"/>
  <c r="E149" i="7"/>
  <c r="E163" i="7"/>
  <c r="E176" i="7"/>
  <c r="E189" i="7"/>
  <c r="E202" i="7"/>
  <c r="E215" i="7"/>
  <c r="E228" i="7"/>
  <c r="E241" i="7"/>
  <c r="E254" i="7"/>
  <c r="E267" i="7"/>
  <c r="E280" i="7"/>
  <c r="E293" i="7"/>
  <c r="E307" i="7"/>
  <c r="E320" i="7"/>
  <c r="E333" i="7"/>
  <c r="E346" i="7"/>
  <c r="E359" i="7"/>
  <c r="E372" i="7"/>
  <c r="E385" i="7"/>
  <c r="E398" i="7"/>
  <c r="E411" i="7"/>
  <c r="E424" i="7"/>
  <c r="E437" i="7"/>
  <c r="E451" i="7"/>
  <c r="E464" i="7"/>
  <c r="E477" i="7"/>
  <c r="E490" i="7"/>
  <c r="D7" i="7"/>
  <c r="D19" i="7"/>
  <c r="D31" i="7"/>
  <c r="D43" i="7"/>
  <c r="D55" i="7"/>
  <c r="D67" i="7"/>
  <c r="D79" i="7"/>
  <c r="D91" i="7"/>
  <c r="D103" i="7"/>
  <c r="D115" i="7"/>
  <c r="D127" i="7"/>
  <c r="D139" i="7"/>
  <c r="D151" i="7"/>
  <c r="D163" i="7"/>
  <c r="D175" i="7"/>
  <c r="D187" i="7"/>
  <c r="D199" i="7"/>
  <c r="D211" i="7"/>
  <c r="D223" i="7"/>
  <c r="D235" i="7"/>
  <c r="D247" i="7"/>
  <c r="D259" i="7"/>
  <c r="D271" i="7"/>
  <c r="D283" i="7"/>
  <c r="D295" i="7"/>
  <c r="D8" i="7"/>
  <c r="D20" i="7"/>
  <c r="D32" i="7"/>
  <c r="D44" i="7"/>
  <c r="D56" i="7"/>
  <c r="D68" i="7"/>
  <c r="D80" i="7"/>
  <c r="D92" i="7"/>
  <c r="D104" i="7"/>
  <c r="D116" i="7"/>
  <c r="D128" i="7"/>
  <c r="D140" i="7"/>
  <c r="D152" i="7"/>
  <c r="D164" i="7"/>
  <c r="D176" i="7"/>
  <c r="D188" i="7"/>
  <c r="D200" i="7"/>
  <c r="D212" i="7"/>
  <c r="D224" i="7"/>
  <c r="D236" i="7"/>
  <c r="D248" i="7"/>
  <c r="D260" i="7"/>
  <c r="D272" i="7"/>
  <c r="D284" i="7"/>
  <c r="D296" i="7"/>
  <c r="D11" i="7"/>
  <c r="D25" i="7"/>
  <c r="D39" i="7"/>
  <c r="D53" i="7"/>
  <c r="D69" i="7"/>
  <c r="D83" i="7"/>
  <c r="D97" i="7"/>
  <c r="D111" i="7"/>
  <c r="D125" i="7"/>
  <c r="D141" i="7"/>
  <c r="D155" i="7"/>
  <c r="D169" i="7"/>
  <c r="D183" i="7"/>
  <c r="D197" i="7"/>
  <c r="D213" i="7"/>
  <c r="D227" i="7"/>
  <c r="D241" i="7"/>
  <c r="D255" i="7"/>
  <c r="D269" i="7"/>
  <c r="D285" i="7"/>
  <c r="D299" i="7"/>
  <c r="D311" i="7"/>
  <c r="D323" i="7"/>
  <c r="D335" i="7"/>
  <c r="D347" i="7"/>
  <c r="D359" i="7"/>
  <c r="D371" i="7"/>
  <c r="D383" i="7"/>
  <c r="D395" i="7"/>
  <c r="D407" i="7"/>
  <c r="D419" i="7"/>
  <c r="D431" i="7"/>
  <c r="D443" i="7"/>
  <c r="D455" i="7"/>
  <c r="D467" i="7"/>
  <c r="D479" i="7"/>
  <c r="D491" i="7"/>
  <c r="D12" i="7"/>
  <c r="D26" i="7"/>
  <c r="D40" i="7"/>
  <c r="D54" i="7"/>
  <c r="D70" i="7"/>
  <c r="D84" i="7"/>
  <c r="D98" i="7"/>
  <c r="D112" i="7"/>
  <c r="D126" i="7"/>
  <c r="D142" i="7"/>
  <c r="D156" i="7"/>
  <c r="D170" i="7"/>
  <c r="D184" i="7"/>
  <c r="D198" i="7"/>
  <c r="D214" i="7"/>
  <c r="D228" i="7"/>
  <c r="D242" i="7"/>
  <c r="D256" i="7"/>
  <c r="D270" i="7"/>
  <c r="D286" i="7"/>
  <c r="D300" i="7"/>
  <c r="D312" i="7"/>
  <c r="D324" i="7"/>
  <c r="D336" i="7"/>
  <c r="D348" i="7"/>
  <c r="D360" i="7"/>
  <c r="D372" i="7"/>
  <c r="D384" i="7"/>
  <c r="D396" i="7"/>
  <c r="D408" i="7"/>
  <c r="D420" i="7"/>
  <c r="D432" i="7"/>
  <c r="D444" i="7"/>
  <c r="D456" i="7"/>
  <c r="D468" i="7"/>
  <c r="D480" i="7"/>
  <c r="D492" i="7"/>
  <c r="D13" i="7"/>
  <c r="D27" i="7"/>
  <c r="D41" i="7"/>
  <c r="D57" i="7"/>
  <c r="D71" i="7"/>
  <c r="D85" i="7"/>
  <c r="D99" i="7"/>
  <c r="D113" i="7"/>
  <c r="D129" i="7"/>
  <c r="D143" i="7"/>
  <c r="D157" i="7"/>
  <c r="D171" i="7"/>
  <c r="D185" i="7"/>
  <c r="D201" i="7"/>
  <c r="D215" i="7"/>
  <c r="D229" i="7"/>
  <c r="D243" i="7"/>
  <c r="D257" i="7"/>
  <c r="D273" i="7"/>
  <c r="D287" i="7"/>
  <c r="D301" i="7"/>
  <c r="D313" i="7"/>
  <c r="D325" i="7"/>
  <c r="D337" i="7"/>
  <c r="D349" i="7"/>
  <c r="D361" i="7"/>
  <c r="D373" i="7"/>
  <c r="D385" i="7"/>
  <c r="D397" i="7"/>
  <c r="D409" i="7"/>
  <c r="D421" i="7"/>
  <c r="D433" i="7"/>
  <c r="D445" i="7"/>
  <c r="D457" i="7"/>
  <c r="D469" i="7"/>
  <c r="D481" i="7"/>
  <c r="D493" i="7"/>
  <c r="D14" i="7"/>
  <c r="D28" i="7"/>
  <c r="D42" i="7"/>
  <c r="D58" i="7"/>
  <c r="D72" i="7"/>
  <c r="D86" i="7"/>
  <c r="D100" i="7"/>
  <c r="D114" i="7"/>
  <c r="D130" i="7"/>
  <c r="D144" i="7"/>
  <c r="D158" i="7"/>
  <c r="D172" i="7"/>
  <c r="D186" i="7"/>
  <c r="D202" i="7"/>
  <c r="D216" i="7"/>
  <c r="D230" i="7"/>
  <c r="D244" i="7"/>
  <c r="D258" i="7"/>
  <c r="D274" i="7"/>
  <c r="D288" i="7"/>
  <c r="D302" i="7"/>
  <c r="D314" i="7"/>
  <c r="D326" i="7"/>
  <c r="D338" i="7"/>
  <c r="D350" i="7"/>
  <c r="D362" i="7"/>
  <c r="D374" i="7"/>
  <c r="D386" i="7"/>
  <c r="D398" i="7"/>
  <c r="D410" i="7"/>
  <c r="D422" i="7"/>
  <c r="D434" i="7"/>
  <c r="D446" i="7"/>
  <c r="D458" i="7"/>
  <c r="D470" i="7"/>
  <c r="D482" i="7"/>
  <c r="D494" i="7"/>
  <c r="D15" i="7"/>
  <c r="D29" i="7"/>
  <c r="D45" i="7"/>
  <c r="D59" i="7"/>
  <c r="D73" i="7"/>
  <c r="D87" i="7"/>
  <c r="D101" i="7"/>
  <c r="D117" i="7"/>
  <c r="D131" i="7"/>
  <c r="D145" i="7"/>
  <c r="D159" i="7"/>
  <c r="D173" i="7"/>
  <c r="D189" i="7"/>
  <c r="D203" i="7"/>
  <c r="D217" i="7"/>
  <c r="D231" i="7"/>
  <c r="D245" i="7"/>
  <c r="D261" i="7"/>
  <c r="D275" i="7"/>
  <c r="D289" i="7"/>
  <c r="D303" i="7"/>
  <c r="D315" i="7"/>
  <c r="D327" i="7"/>
  <c r="D339" i="7"/>
  <c r="D351" i="7"/>
  <c r="D363" i="7"/>
  <c r="D375" i="7"/>
  <c r="D387" i="7"/>
  <c r="D399" i="7"/>
  <c r="D411" i="7"/>
  <c r="D423" i="7"/>
  <c r="D435" i="7"/>
  <c r="D447" i="7"/>
  <c r="D459" i="7"/>
  <c r="D471" i="7"/>
  <c r="D483" i="7"/>
  <c r="D495" i="7"/>
  <c r="E2" i="7"/>
  <c r="D16" i="7"/>
  <c r="D30" i="7"/>
  <c r="D46" i="7"/>
  <c r="D60" i="7"/>
  <c r="D74" i="7"/>
  <c r="D88" i="7"/>
  <c r="D102" i="7"/>
  <c r="D118" i="7"/>
  <c r="D132" i="7"/>
  <c r="D146" i="7"/>
  <c r="D160" i="7"/>
  <c r="D174" i="7"/>
  <c r="D190" i="7"/>
  <c r="D204" i="7"/>
  <c r="D218" i="7"/>
  <c r="D232" i="7"/>
  <c r="D246" i="7"/>
  <c r="D262" i="7"/>
  <c r="D276" i="7"/>
  <c r="D290" i="7"/>
  <c r="D304" i="7"/>
  <c r="D316" i="7"/>
  <c r="D328" i="7"/>
  <c r="D340" i="7"/>
  <c r="D352" i="7"/>
  <c r="D364" i="7"/>
  <c r="D376" i="7"/>
  <c r="D388" i="7"/>
  <c r="D400" i="7"/>
  <c r="D412" i="7"/>
  <c r="D424" i="7"/>
  <c r="D436" i="7"/>
  <c r="D448" i="7"/>
  <c r="D460" i="7"/>
  <c r="D472" i="7"/>
  <c r="D484" i="7"/>
  <c r="D496" i="7"/>
  <c r="D3" i="7"/>
  <c r="D17" i="7"/>
  <c r="D33" i="7"/>
  <c r="D47" i="7"/>
  <c r="D61" i="7"/>
  <c r="D75" i="7"/>
  <c r="D89" i="7"/>
  <c r="D105" i="7"/>
  <c r="D119" i="7"/>
  <c r="D133" i="7"/>
  <c r="D147" i="7"/>
  <c r="D161" i="7"/>
  <c r="D177" i="7"/>
  <c r="D191" i="7"/>
  <c r="D205" i="7"/>
  <c r="D219" i="7"/>
  <c r="D233" i="7"/>
  <c r="D249" i="7"/>
  <c r="D263" i="7"/>
  <c r="D277" i="7"/>
  <c r="D291" i="7"/>
  <c r="D305" i="7"/>
  <c r="D317" i="7"/>
  <c r="D329" i="7"/>
  <c r="D341" i="7"/>
  <c r="D353" i="7"/>
  <c r="D365" i="7"/>
  <c r="D377" i="7"/>
  <c r="D389" i="7"/>
  <c r="D401" i="7"/>
  <c r="D413" i="7"/>
  <c r="D425" i="7"/>
  <c r="D437" i="7"/>
  <c r="D449" i="7"/>
  <c r="D461" i="7"/>
  <c r="D473" i="7"/>
  <c r="D485" i="7"/>
  <c r="D497" i="7"/>
  <c r="D4" i="7"/>
  <c r="D18" i="7"/>
  <c r="D34" i="7"/>
  <c r="D48" i="7"/>
  <c r="D62" i="7"/>
  <c r="D76" i="7"/>
  <c r="D90" i="7"/>
  <c r="D106" i="7"/>
  <c r="D120" i="7"/>
  <c r="D134" i="7"/>
  <c r="D148" i="7"/>
  <c r="D162" i="7"/>
  <c r="D178" i="7"/>
  <c r="D192" i="7"/>
  <c r="D206" i="7"/>
  <c r="D220" i="7"/>
  <c r="D234" i="7"/>
  <c r="D250" i="7"/>
  <c r="D264" i="7"/>
  <c r="D278" i="7"/>
  <c r="D292" i="7"/>
  <c r="D306" i="7"/>
  <c r="D318" i="7"/>
  <c r="D330" i="7"/>
  <c r="D342" i="7"/>
  <c r="D354" i="7"/>
  <c r="D366" i="7"/>
  <c r="D378" i="7"/>
  <c r="D390" i="7"/>
  <c r="D402" i="7"/>
  <c r="D414" i="7"/>
  <c r="D426" i="7"/>
  <c r="D438" i="7"/>
  <c r="D450" i="7"/>
  <c r="D462" i="7"/>
  <c r="D474" i="7"/>
  <c r="D486" i="7"/>
  <c r="D498" i="7"/>
  <c r="D5" i="7"/>
  <c r="D21" i="7"/>
  <c r="D35" i="7"/>
  <c r="D49" i="7"/>
  <c r="D63" i="7"/>
  <c r="D77" i="7"/>
  <c r="D93" i="7"/>
  <c r="D107" i="7"/>
  <c r="D121" i="7"/>
  <c r="D135" i="7"/>
  <c r="D149" i="7"/>
  <c r="D165" i="7"/>
  <c r="D179" i="7"/>
  <c r="D193" i="7"/>
  <c r="D207" i="7"/>
  <c r="D221" i="7"/>
  <c r="D237" i="7"/>
  <c r="D251" i="7"/>
  <c r="D265" i="7"/>
  <c r="D279" i="7"/>
  <c r="D293" i="7"/>
  <c r="D307" i="7"/>
  <c r="D319" i="7"/>
  <c r="D331" i="7"/>
  <c r="D343" i="7"/>
  <c r="D355" i="7"/>
  <c r="D367" i="7"/>
  <c r="D379" i="7"/>
  <c r="D391" i="7"/>
  <c r="D403" i="7"/>
  <c r="D415" i="7"/>
  <c r="D427" i="7"/>
  <c r="D439" i="7"/>
  <c r="D451" i="7"/>
  <c r="D463" i="7"/>
  <c r="D475" i="7"/>
  <c r="D487" i="7"/>
  <c r="D499" i="7"/>
  <c r="D6" i="7"/>
  <c r="D22" i="7"/>
  <c r="D36" i="7"/>
  <c r="D50" i="7"/>
  <c r="D64" i="7"/>
  <c r="D78" i="7"/>
  <c r="D94" i="7"/>
  <c r="D108" i="7"/>
  <c r="D122" i="7"/>
  <c r="D136" i="7"/>
  <c r="D150" i="7"/>
  <c r="D166" i="7"/>
  <c r="D180" i="7"/>
  <c r="D194" i="7"/>
  <c r="D208" i="7"/>
  <c r="D222" i="7"/>
  <c r="D238" i="7"/>
  <c r="D252" i="7"/>
  <c r="D266" i="7"/>
  <c r="D280" i="7"/>
  <c r="D294" i="7"/>
  <c r="D308" i="7"/>
  <c r="D320" i="7"/>
  <c r="D332" i="7"/>
  <c r="D344" i="7"/>
  <c r="D356" i="7"/>
  <c r="D368" i="7"/>
  <c r="D380" i="7"/>
  <c r="D392" i="7"/>
  <c r="D404" i="7"/>
  <c r="D416" i="7"/>
  <c r="D428" i="7"/>
  <c r="D440" i="7"/>
  <c r="D452" i="7"/>
  <c r="D464" i="7"/>
  <c r="D476" i="7"/>
  <c r="D488" i="7"/>
  <c r="D500" i="7"/>
  <c r="D9" i="7"/>
  <c r="D23" i="7"/>
  <c r="D37" i="7"/>
  <c r="D51" i="7"/>
  <c r="D65" i="7"/>
  <c r="D81" i="7"/>
  <c r="D95" i="7"/>
  <c r="D109" i="7"/>
  <c r="D123" i="7"/>
  <c r="D137" i="7"/>
  <c r="D153" i="7"/>
  <c r="D167" i="7"/>
  <c r="D181" i="7"/>
  <c r="D195" i="7"/>
  <c r="D209" i="7"/>
  <c r="D225" i="7"/>
  <c r="D239" i="7"/>
  <c r="D253" i="7"/>
  <c r="D267" i="7"/>
  <c r="D281" i="7"/>
  <c r="D297" i="7"/>
  <c r="D309" i="7"/>
  <c r="D321" i="7"/>
  <c r="D333" i="7"/>
  <c r="D345" i="7"/>
  <c r="D357" i="7"/>
  <c r="D369" i="7"/>
  <c r="D381" i="7"/>
  <c r="D393" i="7"/>
  <c r="D405" i="7"/>
  <c r="D417" i="7"/>
  <c r="D429" i="7"/>
  <c r="D441" i="7"/>
  <c r="D453" i="7"/>
  <c r="D465" i="7"/>
  <c r="D477" i="7"/>
  <c r="D489" i="7"/>
  <c r="D501" i="7"/>
  <c r="D10" i="7"/>
  <c r="D24" i="7"/>
  <c r="D38" i="7"/>
  <c r="D52" i="7"/>
  <c r="D66" i="7"/>
  <c r="D82" i="7"/>
  <c r="D96" i="7"/>
  <c r="D110" i="7"/>
  <c r="D124" i="7"/>
  <c r="D138" i="7"/>
  <c r="D154" i="7"/>
  <c r="D168" i="7"/>
  <c r="D182" i="7"/>
  <c r="D196" i="7"/>
  <c r="D210" i="7"/>
  <c r="D226" i="7"/>
  <c r="D240" i="7"/>
  <c r="D254" i="7"/>
  <c r="D268" i="7"/>
  <c r="D282" i="7"/>
  <c r="D298" i="7"/>
  <c r="D310" i="7"/>
  <c r="D322" i="7"/>
  <c r="D334" i="7"/>
  <c r="D346" i="7"/>
  <c r="D358" i="7"/>
  <c r="D370" i="7"/>
  <c r="D382" i="7"/>
  <c r="D394" i="7"/>
  <c r="D406" i="7"/>
  <c r="D418" i="7"/>
  <c r="D430" i="7"/>
  <c r="D442" i="7"/>
  <c r="D454" i="7"/>
  <c r="D466" i="7"/>
  <c r="D478" i="7"/>
  <c r="D490" i="7"/>
  <c r="D2" i="7"/>
  <c r="J331" i="7" l="1"/>
  <c r="I331" i="7"/>
  <c r="J29" i="7"/>
  <c r="I29" i="7"/>
  <c r="I124" i="7"/>
  <c r="J124" i="7"/>
  <c r="J363" i="7"/>
  <c r="I363" i="7"/>
  <c r="I214" i="7"/>
  <c r="J214" i="7"/>
  <c r="I76" i="7"/>
  <c r="J76" i="7"/>
  <c r="J431" i="7"/>
  <c r="I431" i="7"/>
  <c r="J282" i="7"/>
  <c r="I282" i="7"/>
  <c r="J133" i="7"/>
  <c r="I133" i="7"/>
  <c r="I430" i="7"/>
  <c r="J430" i="7"/>
  <c r="J293" i="7"/>
  <c r="I293" i="7"/>
  <c r="I154" i="7"/>
  <c r="J154" i="7"/>
  <c r="J483" i="7"/>
  <c r="I483" i="7"/>
  <c r="J349" i="7"/>
  <c r="I349" i="7"/>
  <c r="J189" i="7"/>
  <c r="I189" i="7"/>
  <c r="J51" i="7"/>
  <c r="I51" i="7"/>
  <c r="I406" i="7"/>
  <c r="J406" i="7"/>
  <c r="J269" i="7"/>
  <c r="I269" i="7"/>
  <c r="I119" i="7"/>
  <c r="J119" i="7"/>
  <c r="J471" i="7"/>
  <c r="I471" i="7"/>
  <c r="J337" i="7"/>
  <c r="I337" i="7"/>
  <c r="J187" i="7"/>
  <c r="I187" i="7"/>
  <c r="J50" i="7"/>
  <c r="I50" i="7"/>
  <c r="J415" i="7"/>
  <c r="I415" i="7"/>
  <c r="J267" i="7"/>
  <c r="I267" i="7"/>
  <c r="J117" i="7"/>
  <c r="I117" i="7"/>
  <c r="J425" i="7"/>
  <c r="I425" i="7"/>
  <c r="J288" i="7"/>
  <c r="I288" i="7"/>
  <c r="J150" i="7"/>
  <c r="I150" i="7"/>
  <c r="J367" i="7"/>
  <c r="I367" i="7"/>
  <c r="J218" i="7"/>
  <c r="I218" i="7"/>
  <c r="J68" i="7"/>
  <c r="I68" i="7"/>
  <c r="I412" i="7"/>
  <c r="J412" i="7"/>
  <c r="J275" i="7"/>
  <c r="I275" i="7"/>
  <c r="I136" i="7"/>
  <c r="J136" i="7"/>
  <c r="J495" i="7"/>
  <c r="I495" i="7"/>
  <c r="J354" i="7"/>
  <c r="I354" i="7"/>
  <c r="J205" i="7"/>
  <c r="I205" i="7"/>
  <c r="J66" i="7"/>
  <c r="I66" i="7"/>
  <c r="J3" i="7"/>
  <c r="I3" i="7"/>
  <c r="J193" i="7"/>
  <c r="I193" i="7"/>
  <c r="J494" i="7"/>
  <c r="I494" i="7"/>
  <c r="I352" i="7"/>
  <c r="J352" i="7"/>
  <c r="J203" i="7"/>
  <c r="I203" i="7"/>
  <c r="I64" i="7"/>
  <c r="J64" i="7"/>
  <c r="J419" i="7"/>
  <c r="I419" i="7"/>
  <c r="J272" i="7"/>
  <c r="I272" i="7"/>
  <c r="J122" i="7"/>
  <c r="I122" i="7"/>
  <c r="I418" i="7"/>
  <c r="J418" i="7"/>
  <c r="J281" i="7"/>
  <c r="I281" i="7"/>
  <c r="I143" i="7"/>
  <c r="J143" i="7"/>
  <c r="J472" i="7"/>
  <c r="I472" i="7"/>
  <c r="J327" i="7"/>
  <c r="I327" i="7"/>
  <c r="J177" i="7"/>
  <c r="I177" i="7"/>
  <c r="J39" i="7"/>
  <c r="I39" i="7"/>
  <c r="I394" i="7"/>
  <c r="J394" i="7"/>
  <c r="J257" i="7"/>
  <c r="I257" i="7"/>
  <c r="J107" i="7"/>
  <c r="I107" i="7"/>
  <c r="I460" i="7"/>
  <c r="J460" i="7"/>
  <c r="J325" i="7"/>
  <c r="I325" i="7"/>
  <c r="J175" i="7"/>
  <c r="I175" i="7"/>
  <c r="J37" i="7"/>
  <c r="I37" i="7"/>
  <c r="J404" i="7"/>
  <c r="I404" i="7"/>
  <c r="J255" i="7"/>
  <c r="I255" i="7"/>
  <c r="J105" i="7"/>
  <c r="I105" i="7"/>
  <c r="J414" i="7"/>
  <c r="I414" i="7"/>
  <c r="J277" i="7"/>
  <c r="I277" i="7"/>
  <c r="J138" i="7"/>
  <c r="I138" i="7"/>
  <c r="I496" i="7"/>
  <c r="J496" i="7"/>
  <c r="J356" i="7"/>
  <c r="I356" i="7"/>
  <c r="I196" i="7"/>
  <c r="J196" i="7"/>
  <c r="J57" i="7"/>
  <c r="I57" i="7"/>
  <c r="J401" i="7"/>
  <c r="I401" i="7"/>
  <c r="J264" i="7"/>
  <c r="I264" i="7"/>
  <c r="J126" i="7"/>
  <c r="I126" i="7"/>
  <c r="J477" i="7"/>
  <c r="I477" i="7"/>
  <c r="J343" i="7"/>
  <c r="I343" i="7"/>
  <c r="J194" i="7"/>
  <c r="I194" i="7"/>
  <c r="J56" i="7"/>
  <c r="I56" i="7"/>
  <c r="J2" i="7"/>
  <c r="I2" i="7"/>
  <c r="J55" i="7"/>
  <c r="I55" i="7"/>
  <c r="J273" i="7"/>
  <c r="I273" i="7"/>
  <c r="J485" i="7"/>
  <c r="I485" i="7"/>
  <c r="J341" i="7"/>
  <c r="I341" i="7"/>
  <c r="J192" i="7"/>
  <c r="I192" i="7"/>
  <c r="J54" i="7"/>
  <c r="I54" i="7"/>
  <c r="J409" i="7"/>
  <c r="I409" i="7"/>
  <c r="J260" i="7"/>
  <c r="I260" i="7"/>
  <c r="J110" i="7"/>
  <c r="I110" i="7"/>
  <c r="J408" i="7"/>
  <c r="I408" i="7"/>
  <c r="J271" i="7"/>
  <c r="I271" i="7"/>
  <c r="J132" i="7"/>
  <c r="I132" i="7"/>
  <c r="J462" i="7"/>
  <c r="I462" i="7"/>
  <c r="J315" i="7"/>
  <c r="I315" i="7"/>
  <c r="J165" i="7"/>
  <c r="I165" i="7"/>
  <c r="I22" i="7"/>
  <c r="J22" i="7"/>
  <c r="I382" i="7"/>
  <c r="J382" i="7"/>
  <c r="J245" i="7"/>
  <c r="I245" i="7"/>
  <c r="I95" i="7"/>
  <c r="J95" i="7"/>
  <c r="I448" i="7"/>
  <c r="J448" i="7"/>
  <c r="J313" i="7"/>
  <c r="I313" i="7"/>
  <c r="J163" i="7"/>
  <c r="I163" i="7"/>
  <c r="J19" i="7"/>
  <c r="I19" i="7"/>
  <c r="J392" i="7"/>
  <c r="I392" i="7"/>
  <c r="J243" i="7"/>
  <c r="I243" i="7"/>
  <c r="J93" i="7"/>
  <c r="I93" i="7"/>
  <c r="J403" i="7"/>
  <c r="I403" i="7"/>
  <c r="J266" i="7"/>
  <c r="I266" i="7"/>
  <c r="J128" i="7"/>
  <c r="I128" i="7"/>
  <c r="J488" i="7"/>
  <c r="I488" i="7"/>
  <c r="I334" i="7"/>
  <c r="J334" i="7"/>
  <c r="I184" i="7"/>
  <c r="J184" i="7"/>
  <c r="I47" i="7"/>
  <c r="J47" i="7"/>
  <c r="J389" i="7"/>
  <c r="I389" i="7"/>
  <c r="J252" i="7"/>
  <c r="I252" i="7"/>
  <c r="J114" i="7"/>
  <c r="I114" i="7"/>
  <c r="J466" i="7"/>
  <c r="I466" i="7"/>
  <c r="J332" i="7"/>
  <c r="I332" i="7"/>
  <c r="J182" i="7"/>
  <c r="I182" i="7"/>
  <c r="J45" i="7"/>
  <c r="I45" i="7"/>
  <c r="J36" i="7"/>
  <c r="I36" i="7"/>
  <c r="J476" i="7"/>
  <c r="I476" i="7"/>
  <c r="I475" i="7"/>
  <c r="J475" i="7"/>
  <c r="J330" i="7"/>
  <c r="I330" i="7"/>
  <c r="J180" i="7"/>
  <c r="I180" i="7"/>
  <c r="J42" i="7"/>
  <c r="I42" i="7"/>
  <c r="J397" i="7"/>
  <c r="I397" i="7"/>
  <c r="J248" i="7"/>
  <c r="I248" i="7"/>
  <c r="J98" i="7"/>
  <c r="I98" i="7"/>
  <c r="J396" i="7"/>
  <c r="I396" i="7"/>
  <c r="J259" i="7"/>
  <c r="I259" i="7"/>
  <c r="J121" i="7"/>
  <c r="I121" i="7"/>
  <c r="J450" i="7"/>
  <c r="I450" i="7"/>
  <c r="J303" i="7"/>
  <c r="I303" i="7"/>
  <c r="J153" i="7"/>
  <c r="I153" i="7"/>
  <c r="I370" i="7"/>
  <c r="J370" i="7"/>
  <c r="J233" i="7"/>
  <c r="I233" i="7"/>
  <c r="J83" i="7"/>
  <c r="I83" i="7"/>
  <c r="J438" i="7"/>
  <c r="I438" i="7"/>
  <c r="J301" i="7"/>
  <c r="I301" i="7"/>
  <c r="J152" i="7"/>
  <c r="I152" i="7"/>
  <c r="J380" i="7"/>
  <c r="I380" i="7"/>
  <c r="J231" i="7"/>
  <c r="I231" i="7"/>
  <c r="J81" i="7"/>
  <c r="I81" i="7"/>
  <c r="J391" i="7"/>
  <c r="I391" i="7"/>
  <c r="J254" i="7"/>
  <c r="I254" i="7"/>
  <c r="J116" i="7"/>
  <c r="I116" i="7"/>
  <c r="J478" i="7"/>
  <c r="I478" i="7"/>
  <c r="I322" i="7"/>
  <c r="J322" i="7"/>
  <c r="I172" i="7"/>
  <c r="J172" i="7"/>
  <c r="J33" i="7"/>
  <c r="I33" i="7"/>
  <c r="J377" i="7"/>
  <c r="I377" i="7"/>
  <c r="J240" i="7"/>
  <c r="I240" i="7"/>
  <c r="J102" i="7"/>
  <c r="I102" i="7"/>
  <c r="J455" i="7"/>
  <c r="I455" i="7"/>
  <c r="J320" i="7"/>
  <c r="I320" i="7"/>
  <c r="J170" i="7"/>
  <c r="I170" i="7"/>
  <c r="J30" i="7"/>
  <c r="I30" i="7"/>
  <c r="J24" i="7"/>
  <c r="I24" i="7"/>
  <c r="J486" i="7"/>
  <c r="I486" i="7"/>
  <c r="J342" i="7"/>
  <c r="I342" i="7"/>
  <c r="J465" i="7"/>
  <c r="I465" i="7"/>
  <c r="J318" i="7"/>
  <c r="I318" i="7"/>
  <c r="J168" i="7"/>
  <c r="I168" i="7"/>
  <c r="J27" i="7"/>
  <c r="I27" i="7"/>
  <c r="J385" i="7"/>
  <c r="I385" i="7"/>
  <c r="J236" i="7"/>
  <c r="I236" i="7"/>
  <c r="J86" i="7"/>
  <c r="I86" i="7"/>
  <c r="J384" i="7"/>
  <c r="I384" i="7"/>
  <c r="J247" i="7"/>
  <c r="I247" i="7"/>
  <c r="J109" i="7"/>
  <c r="I109" i="7"/>
  <c r="J439" i="7"/>
  <c r="I439" i="7"/>
  <c r="I292" i="7"/>
  <c r="J292" i="7"/>
  <c r="I142" i="7"/>
  <c r="J142" i="7"/>
  <c r="J360" i="7"/>
  <c r="I360" i="7"/>
  <c r="J222" i="7"/>
  <c r="I222" i="7"/>
  <c r="J72" i="7"/>
  <c r="I72" i="7"/>
  <c r="J427" i="7"/>
  <c r="I427" i="7"/>
  <c r="J290" i="7"/>
  <c r="I290" i="7"/>
  <c r="J140" i="7"/>
  <c r="I140" i="7"/>
  <c r="I358" i="7"/>
  <c r="J358" i="7"/>
  <c r="I220" i="7"/>
  <c r="J220" i="7"/>
  <c r="I70" i="7"/>
  <c r="J70" i="7"/>
  <c r="J379" i="7"/>
  <c r="I379" i="7"/>
  <c r="J242" i="7"/>
  <c r="I242" i="7"/>
  <c r="J104" i="7"/>
  <c r="I104" i="7"/>
  <c r="I468" i="7"/>
  <c r="J468" i="7"/>
  <c r="I310" i="7"/>
  <c r="J310" i="7"/>
  <c r="I160" i="7"/>
  <c r="J160" i="7"/>
  <c r="J13" i="7"/>
  <c r="I13" i="7"/>
  <c r="J366" i="7"/>
  <c r="I366" i="7"/>
  <c r="J228" i="7"/>
  <c r="I228" i="7"/>
  <c r="J90" i="7"/>
  <c r="I90" i="7"/>
  <c r="J443" i="7"/>
  <c r="I443" i="7"/>
  <c r="J308" i="7"/>
  <c r="I308" i="7"/>
  <c r="J158" i="7"/>
  <c r="I158" i="7"/>
  <c r="J7" i="7"/>
  <c r="I7" i="7"/>
  <c r="J12" i="7"/>
  <c r="I12" i="7"/>
  <c r="J353" i="7"/>
  <c r="I353" i="7"/>
  <c r="J204" i="7"/>
  <c r="I204" i="7"/>
  <c r="J453" i="7"/>
  <c r="I453" i="7"/>
  <c r="J306" i="7"/>
  <c r="I306" i="7"/>
  <c r="J156" i="7"/>
  <c r="I156" i="7"/>
  <c r="J373" i="7"/>
  <c r="I373" i="7"/>
  <c r="J213" i="7"/>
  <c r="I213" i="7"/>
  <c r="J75" i="7"/>
  <c r="I75" i="7"/>
  <c r="J372" i="7"/>
  <c r="I372" i="7"/>
  <c r="J235" i="7"/>
  <c r="I235" i="7"/>
  <c r="J97" i="7"/>
  <c r="I97" i="7"/>
  <c r="J429" i="7"/>
  <c r="I429" i="7"/>
  <c r="I280" i="7"/>
  <c r="J280" i="7"/>
  <c r="J131" i="7"/>
  <c r="I131" i="7"/>
  <c r="J348" i="7"/>
  <c r="I348" i="7"/>
  <c r="J210" i="7"/>
  <c r="I210" i="7"/>
  <c r="J61" i="7"/>
  <c r="I61" i="7"/>
  <c r="J416" i="7"/>
  <c r="I416" i="7"/>
  <c r="I268" i="7"/>
  <c r="J268" i="7"/>
  <c r="J129" i="7"/>
  <c r="I129" i="7"/>
  <c r="J498" i="7"/>
  <c r="I498" i="7"/>
  <c r="I346" i="7"/>
  <c r="J346" i="7"/>
  <c r="I208" i="7"/>
  <c r="J208" i="7"/>
  <c r="J59" i="7"/>
  <c r="I59" i="7"/>
  <c r="J497" i="7"/>
  <c r="I497" i="7"/>
  <c r="J368" i="7"/>
  <c r="I368" i="7"/>
  <c r="J230" i="7"/>
  <c r="I230" i="7"/>
  <c r="J92" i="7"/>
  <c r="I92" i="7"/>
  <c r="J457" i="7"/>
  <c r="I457" i="7"/>
  <c r="I298" i="7"/>
  <c r="J298" i="7"/>
  <c r="J149" i="7"/>
  <c r="I149" i="7"/>
  <c r="J355" i="7"/>
  <c r="I355" i="7"/>
  <c r="J217" i="7"/>
  <c r="I217" i="7"/>
  <c r="J79" i="7"/>
  <c r="I79" i="7"/>
  <c r="J434" i="7"/>
  <c r="I434" i="7"/>
  <c r="J285" i="7"/>
  <c r="I285" i="7"/>
  <c r="J147" i="7"/>
  <c r="I147" i="7"/>
  <c r="I28" i="7"/>
  <c r="J28" i="7"/>
  <c r="J11" i="7"/>
  <c r="I11" i="7"/>
  <c r="I364" i="7"/>
  <c r="J364" i="7"/>
  <c r="I215" i="7"/>
  <c r="J215" i="7"/>
  <c r="J65" i="7"/>
  <c r="I65" i="7"/>
  <c r="J375" i="7"/>
  <c r="I375" i="7"/>
  <c r="J432" i="7"/>
  <c r="I432" i="7"/>
  <c r="J295" i="7"/>
  <c r="I295" i="7"/>
  <c r="J145" i="7"/>
  <c r="I145" i="7"/>
  <c r="J493" i="7"/>
  <c r="I493" i="7"/>
  <c r="J351" i="7"/>
  <c r="I351" i="7"/>
  <c r="I202" i="7"/>
  <c r="J202" i="7"/>
  <c r="J63" i="7"/>
  <c r="I63" i="7"/>
  <c r="J362" i="7"/>
  <c r="I362" i="7"/>
  <c r="J224" i="7"/>
  <c r="I224" i="7"/>
  <c r="J85" i="7"/>
  <c r="I85" i="7"/>
  <c r="J417" i="7"/>
  <c r="I417" i="7"/>
  <c r="J270" i="7"/>
  <c r="I270" i="7"/>
  <c r="J120" i="7"/>
  <c r="I120" i="7"/>
  <c r="J500" i="7"/>
  <c r="I500" i="7"/>
  <c r="J338" i="7"/>
  <c r="I338" i="7"/>
  <c r="J200" i="7"/>
  <c r="I200" i="7"/>
  <c r="J38" i="7"/>
  <c r="I38" i="7"/>
  <c r="J405" i="7"/>
  <c r="I405" i="7"/>
  <c r="I256" i="7"/>
  <c r="J256" i="7"/>
  <c r="I118" i="7"/>
  <c r="J118" i="7"/>
  <c r="J480" i="7"/>
  <c r="I480" i="7"/>
  <c r="J336" i="7"/>
  <c r="I336" i="7"/>
  <c r="J198" i="7"/>
  <c r="I198" i="7"/>
  <c r="J49" i="7"/>
  <c r="I49" i="7"/>
  <c r="I489" i="7"/>
  <c r="J489" i="7"/>
  <c r="J357" i="7"/>
  <c r="I357" i="7"/>
  <c r="J219" i="7"/>
  <c r="I219" i="7"/>
  <c r="J69" i="7"/>
  <c r="I69" i="7"/>
  <c r="J445" i="7"/>
  <c r="I445" i="7"/>
  <c r="I287" i="7"/>
  <c r="J287" i="7"/>
  <c r="J137" i="7"/>
  <c r="I137" i="7"/>
  <c r="J487" i="7"/>
  <c r="I487" i="7"/>
  <c r="J344" i="7"/>
  <c r="I344" i="7"/>
  <c r="J206" i="7"/>
  <c r="I206" i="7"/>
  <c r="J67" i="7"/>
  <c r="I67" i="7"/>
  <c r="J422" i="7"/>
  <c r="I422" i="7"/>
  <c r="I274" i="7"/>
  <c r="J274" i="7"/>
  <c r="J135" i="7"/>
  <c r="I135" i="7"/>
  <c r="I16" i="7"/>
  <c r="J16" i="7"/>
  <c r="I10" i="7"/>
  <c r="J10" i="7"/>
  <c r="I226" i="7"/>
  <c r="J226" i="7"/>
  <c r="J77" i="7"/>
  <c r="I77" i="7"/>
  <c r="J421" i="7"/>
  <c r="I421" i="7"/>
  <c r="J387" i="7"/>
  <c r="I387" i="7"/>
  <c r="I238" i="7"/>
  <c r="J238" i="7"/>
  <c r="J420" i="7"/>
  <c r="I420" i="7"/>
  <c r="J283" i="7"/>
  <c r="I283" i="7"/>
  <c r="J134" i="7"/>
  <c r="I134" i="7"/>
  <c r="J484" i="7"/>
  <c r="I484" i="7"/>
  <c r="I340" i="7"/>
  <c r="J340" i="7"/>
  <c r="I191" i="7"/>
  <c r="J191" i="7"/>
  <c r="J53" i="7"/>
  <c r="I53" i="7"/>
  <c r="J501" i="7"/>
  <c r="I501" i="7"/>
  <c r="J350" i="7"/>
  <c r="I350" i="7"/>
  <c r="J212" i="7"/>
  <c r="I212" i="7"/>
  <c r="J74" i="7"/>
  <c r="I74" i="7"/>
  <c r="J407" i="7"/>
  <c r="I407" i="7"/>
  <c r="J258" i="7"/>
  <c r="I258" i="7"/>
  <c r="J108" i="7"/>
  <c r="I108" i="7"/>
  <c r="J491" i="7"/>
  <c r="I491" i="7"/>
  <c r="J326" i="7"/>
  <c r="I326" i="7"/>
  <c r="J188" i="7"/>
  <c r="I188" i="7"/>
  <c r="J21" i="7"/>
  <c r="I21" i="7"/>
  <c r="J393" i="7"/>
  <c r="I393" i="7"/>
  <c r="I244" i="7"/>
  <c r="J244" i="7"/>
  <c r="I106" i="7"/>
  <c r="J106" i="7"/>
  <c r="J470" i="7"/>
  <c r="I470" i="7"/>
  <c r="J324" i="7"/>
  <c r="I324" i="7"/>
  <c r="J186" i="7"/>
  <c r="I186" i="7"/>
  <c r="J35" i="7"/>
  <c r="I35" i="7"/>
  <c r="J479" i="7"/>
  <c r="I479" i="7"/>
  <c r="J345" i="7"/>
  <c r="I345" i="7"/>
  <c r="J207" i="7"/>
  <c r="I207" i="7"/>
  <c r="I58" i="7"/>
  <c r="J58" i="7"/>
  <c r="I424" i="7"/>
  <c r="J424" i="7"/>
  <c r="J276" i="7"/>
  <c r="I276" i="7"/>
  <c r="J127" i="7"/>
  <c r="I127" i="7"/>
  <c r="J467" i="7"/>
  <c r="I467" i="7"/>
  <c r="J333" i="7"/>
  <c r="I333" i="7"/>
  <c r="J195" i="7"/>
  <c r="I195" i="7"/>
  <c r="I46" i="7"/>
  <c r="J46" i="7"/>
  <c r="J411" i="7"/>
  <c r="I411" i="7"/>
  <c r="I263" i="7"/>
  <c r="J263" i="7"/>
  <c r="J125" i="7"/>
  <c r="I125" i="7"/>
  <c r="J5" i="7"/>
  <c r="I5" i="7"/>
  <c r="J9" i="7"/>
  <c r="I9" i="7"/>
  <c r="I88" i="7"/>
  <c r="J88" i="7"/>
  <c r="I454" i="7"/>
  <c r="J454" i="7"/>
  <c r="J433" i="7"/>
  <c r="I433" i="7"/>
  <c r="J284" i="7"/>
  <c r="I284" i="7"/>
  <c r="I250" i="7"/>
  <c r="J250" i="7"/>
  <c r="I100" i="7"/>
  <c r="J100" i="7"/>
  <c r="J410" i="7"/>
  <c r="I410" i="7"/>
  <c r="J261" i="7"/>
  <c r="I261" i="7"/>
  <c r="J123" i="7"/>
  <c r="I123" i="7"/>
  <c r="J474" i="7"/>
  <c r="I474" i="7"/>
  <c r="J329" i="7"/>
  <c r="I329" i="7"/>
  <c r="J179" i="7"/>
  <c r="I179" i="7"/>
  <c r="J41" i="7"/>
  <c r="I41" i="7"/>
  <c r="J473" i="7"/>
  <c r="I473" i="7"/>
  <c r="J339" i="7"/>
  <c r="I339" i="7"/>
  <c r="J201" i="7"/>
  <c r="I201" i="7"/>
  <c r="I52" i="7"/>
  <c r="J52" i="7"/>
  <c r="J395" i="7"/>
  <c r="I395" i="7"/>
  <c r="J246" i="7"/>
  <c r="I246" i="7"/>
  <c r="J96" i="7"/>
  <c r="I96" i="7"/>
  <c r="I482" i="7"/>
  <c r="J482" i="7"/>
  <c r="J314" i="7"/>
  <c r="I314" i="7"/>
  <c r="J176" i="7"/>
  <c r="I176" i="7"/>
  <c r="J381" i="7"/>
  <c r="I381" i="7"/>
  <c r="I232" i="7"/>
  <c r="J232" i="7"/>
  <c r="I94" i="7"/>
  <c r="J94" i="7"/>
  <c r="J459" i="7"/>
  <c r="I459" i="7"/>
  <c r="J312" i="7"/>
  <c r="I312" i="7"/>
  <c r="J174" i="7"/>
  <c r="I174" i="7"/>
  <c r="J18" i="7"/>
  <c r="I18" i="7"/>
  <c r="J469" i="7"/>
  <c r="I469" i="7"/>
  <c r="J335" i="7"/>
  <c r="I335" i="7"/>
  <c r="J197" i="7"/>
  <c r="I197" i="7"/>
  <c r="J48" i="7"/>
  <c r="I48" i="7"/>
  <c r="J413" i="7"/>
  <c r="I413" i="7"/>
  <c r="J265" i="7"/>
  <c r="I265" i="7"/>
  <c r="J115" i="7"/>
  <c r="I115" i="7"/>
  <c r="J456" i="7"/>
  <c r="I456" i="7"/>
  <c r="J321" i="7"/>
  <c r="I321" i="7"/>
  <c r="J183" i="7"/>
  <c r="I183" i="7"/>
  <c r="J31" i="7"/>
  <c r="I31" i="7"/>
  <c r="I400" i="7"/>
  <c r="J400" i="7"/>
  <c r="J251" i="7"/>
  <c r="I251" i="7"/>
  <c r="J113" i="7"/>
  <c r="I113" i="7"/>
  <c r="J15" i="7"/>
  <c r="I15" i="7"/>
  <c r="J44" i="7"/>
  <c r="I44" i="7"/>
  <c r="J319" i="7"/>
  <c r="I319" i="7"/>
  <c r="I442" i="7"/>
  <c r="J442" i="7"/>
  <c r="J296" i="7"/>
  <c r="I296" i="7"/>
  <c r="J146" i="7"/>
  <c r="I146" i="7"/>
  <c r="I112" i="7"/>
  <c r="J112" i="7"/>
  <c r="J398" i="7"/>
  <c r="I398" i="7"/>
  <c r="J249" i="7"/>
  <c r="I249" i="7"/>
  <c r="J111" i="7"/>
  <c r="I111" i="7"/>
  <c r="J464" i="7"/>
  <c r="I464" i="7"/>
  <c r="J317" i="7"/>
  <c r="I317" i="7"/>
  <c r="I167" i="7"/>
  <c r="J167" i="7"/>
  <c r="J25" i="7"/>
  <c r="I25" i="7"/>
  <c r="J463" i="7"/>
  <c r="I463" i="7"/>
  <c r="I328" i="7"/>
  <c r="J328" i="7"/>
  <c r="I190" i="7"/>
  <c r="J190" i="7"/>
  <c r="I40" i="7"/>
  <c r="J40" i="7"/>
  <c r="J383" i="7"/>
  <c r="I383" i="7"/>
  <c r="J234" i="7"/>
  <c r="I234" i="7"/>
  <c r="J84" i="7"/>
  <c r="I84" i="7"/>
  <c r="J461" i="7"/>
  <c r="I461" i="7"/>
  <c r="J302" i="7"/>
  <c r="I302" i="7"/>
  <c r="J164" i="7"/>
  <c r="I164" i="7"/>
  <c r="J499" i="7"/>
  <c r="I499" i="7"/>
  <c r="J369" i="7"/>
  <c r="I369" i="7"/>
  <c r="J221" i="7"/>
  <c r="I221" i="7"/>
  <c r="I82" i="7"/>
  <c r="J82" i="7"/>
  <c r="J447" i="7"/>
  <c r="I447" i="7"/>
  <c r="J300" i="7"/>
  <c r="I300" i="7"/>
  <c r="J162" i="7"/>
  <c r="I162" i="7"/>
  <c r="J458" i="7"/>
  <c r="I458" i="7"/>
  <c r="J323" i="7"/>
  <c r="I323" i="7"/>
  <c r="J185" i="7"/>
  <c r="I185" i="7"/>
  <c r="I34" i="7"/>
  <c r="J34" i="7"/>
  <c r="J402" i="7"/>
  <c r="I402" i="7"/>
  <c r="J253" i="7"/>
  <c r="I253" i="7"/>
  <c r="J103" i="7"/>
  <c r="I103" i="7"/>
  <c r="J444" i="7"/>
  <c r="I444" i="7"/>
  <c r="J309" i="7"/>
  <c r="I309" i="7"/>
  <c r="J171" i="7"/>
  <c r="I171" i="7"/>
  <c r="J8" i="7"/>
  <c r="I8" i="7"/>
  <c r="I388" i="7"/>
  <c r="J388" i="7"/>
  <c r="I239" i="7"/>
  <c r="J239" i="7"/>
  <c r="J101" i="7"/>
  <c r="I101" i="7"/>
  <c r="I4" i="7"/>
  <c r="J4" i="7"/>
  <c r="J32" i="7"/>
  <c r="I32" i="7"/>
  <c r="J181" i="7"/>
  <c r="I181" i="7"/>
  <c r="J307" i="7"/>
  <c r="I307" i="7"/>
  <c r="J157" i="7"/>
  <c r="I157" i="7"/>
  <c r="J399" i="7"/>
  <c r="I399" i="7"/>
  <c r="J386" i="7"/>
  <c r="I386" i="7"/>
  <c r="J237" i="7"/>
  <c r="I237" i="7"/>
  <c r="J99" i="7"/>
  <c r="I99" i="7"/>
  <c r="J452" i="7"/>
  <c r="I452" i="7"/>
  <c r="J305" i="7"/>
  <c r="I305" i="7"/>
  <c r="J155" i="7"/>
  <c r="I155" i="7"/>
  <c r="J451" i="7"/>
  <c r="I451" i="7"/>
  <c r="I316" i="7"/>
  <c r="J316" i="7"/>
  <c r="I178" i="7"/>
  <c r="J178" i="7"/>
  <c r="I23" i="7"/>
  <c r="J23" i="7"/>
  <c r="J371" i="7"/>
  <c r="I371" i="7"/>
  <c r="J223" i="7"/>
  <c r="I223" i="7"/>
  <c r="J73" i="7"/>
  <c r="I73" i="7"/>
  <c r="J449" i="7"/>
  <c r="I449" i="7"/>
  <c r="J291" i="7"/>
  <c r="I291" i="7"/>
  <c r="J141" i="7"/>
  <c r="I141" i="7"/>
  <c r="J490" i="7"/>
  <c r="I490" i="7"/>
  <c r="J359" i="7"/>
  <c r="I359" i="7"/>
  <c r="J209" i="7"/>
  <c r="I209" i="7"/>
  <c r="I71" i="7"/>
  <c r="J71" i="7"/>
  <c r="J437" i="7"/>
  <c r="I437" i="7"/>
  <c r="J289" i="7"/>
  <c r="I289" i="7"/>
  <c r="J151" i="7"/>
  <c r="I151" i="7"/>
  <c r="J446" i="7"/>
  <c r="I446" i="7"/>
  <c r="J311" i="7"/>
  <c r="I311" i="7"/>
  <c r="J173" i="7"/>
  <c r="I173" i="7"/>
  <c r="J17" i="7"/>
  <c r="I17" i="7"/>
  <c r="J390" i="7"/>
  <c r="I390" i="7"/>
  <c r="J241" i="7"/>
  <c r="I241" i="7"/>
  <c r="J91" i="7"/>
  <c r="I91" i="7"/>
  <c r="J435" i="7"/>
  <c r="I435" i="7"/>
  <c r="J297" i="7"/>
  <c r="I297" i="7"/>
  <c r="J159" i="7"/>
  <c r="I159" i="7"/>
  <c r="I376" i="7"/>
  <c r="J376" i="7"/>
  <c r="J227" i="7"/>
  <c r="I227" i="7"/>
  <c r="J89" i="7"/>
  <c r="I89" i="7"/>
  <c r="J26" i="7"/>
  <c r="I26" i="7"/>
  <c r="J20" i="7"/>
  <c r="I20" i="7"/>
  <c r="J43" i="7"/>
  <c r="I43" i="7"/>
  <c r="J169" i="7"/>
  <c r="I169" i="7"/>
  <c r="J6" i="7"/>
  <c r="I6" i="7"/>
  <c r="I262" i="7"/>
  <c r="J262" i="7"/>
  <c r="J374" i="7"/>
  <c r="I374" i="7"/>
  <c r="J225" i="7"/>
  <c r="I225" i="7"/>
  <c r="J87" i="7"/>
  <c r="I87" i="7"/>
  <c r="J441" i="7"/>
  <c r="I441" i="7"/>
  <c r="J294" i="7"/>
  <c r="I294" i="7"/>
  <c r="J144" i="7"/>
  <c r="I144" i="7"/>
  <c r="J440" i="7"/>
  <c r="I440" i="7"/>
  <c r="I304" i="7"/>
  <c r="J304" i="7"/>
  <c r="I166" i="7"/>
  <c r="J166" i="7"/>
  <c r="J492" i="7"/>
  <c r="I492" i="7"/>
  <c r="J361" i="7"/>
  <c r="I361" i="7"/>
  <c r="J211" i="7"/>
  <c r="I211" i="7"/>
  <c r="J62" i="7"/>
  <c r="I62" i="7"/>
  <c r="J428" i="7"/>
  <c r="I428" i="7"/>
  <c r="J279" i="7"/>
  <c r="I279" i="7"/>
  <c r="I130" i="7"/>
  <c r="J130" i="7"/>
  <c r="J481" i="7"/>
  <c r="I481" i="7"/>
  <c r="J347" i="7"/>
  <c r="I347" i="7"/>
  <c r="J199" i="7"/>
  <c r="I199" i="7"/>
  <c r="J60" i="7"/>
  <c r="I60" i="7"/>
  <c r="J426" i="7"/>
  <c r="I426" i="7"/>
  <c r="J278" i="7"/>
  <c r="I278" i="7"/>
  <c r="J139" i="7"/>
  <c r="I139" i="7"/>
  <c r="I436" i="7"/>
  <c r="J436" i="7"/>
  <c r="J299" i="7"/>
  <c r="I299" i="7"/>
  <c r="J161" i="7"/>
  <c r="I161" i="7"/>
  <c r="J378" i="7"/>
  <c r="I378" i="7"/>
  <c r="J229" i="7"/>
  <c r="I229" i="7"/>
  <c r="J80" i="7"/>
  <c r="I80" i="7"/>
  <c r="J423" i="7"/>
  <c r="I423" i="7"/>
  <c r="I286" i="7"/>
  <c r="J286" i="7"/>
  <c r="I148" i="7"/>
  <c r="J148" i="7"/>
  <c r="J365" i="7"/>
  <c r="I365" i="7"/>
  <c r="J216" i="7"/>
  <c r="I216" i="7"/>
  <c r="J78" i="7"/>
  <c r="I78" i="7"/>
  <c r="J14" i="7"/>
  <c r="I1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Haley Price</author>
  </authors>
  <commentList>
    <comment ref="E1" authorId="0" shapeId="0" xr:uid="{AEE6D5DE-D4B6-460F-AB29-3632D759A49E}">
      <text>
        <r>
          <rPr>
            <b/>
            <sz val="9"/>
            <color indexed="81"/>
            <rFont val="Tahoma"/>
            <family val="2"/>
          </rPr>
          <t>Haley Price:</t>
        </r>
        <r>
          <rPr>
            <sz val="9"/>
            <color indexed="81"/>
            <rFont val="Tahoma"/>
            <family val="2"/>
          </rPr>
          <t xml:space="preserve">
***remember their new year is towards the end of March so this will impact the timeline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<sst xmlns="http://schemas.openxmlformats.org/spreadsheetml/2006/main" count="5808" uniqueCount="2316">
  <si>
    <t>Notes</t>
  </si>
  <si>
    <t>ASF, Acquisti e Doni, Fol 59, Ins 4.</t>
  </si>
  <si>
    <t>35r</t>
  </si>
  <si>
    <t>1623/10/14</t>
  </si>
  <si>
    <t>Transcription</t>
  </si>
  <si>
    <t>Havendo io gia' destinato il luogo di mi Biagio mio Cappellano non porto' in altro servire VA se non tener memoria di mi Salustio Mananni per altra ___ che si porgessi, facendolo per hora arrolare tra gl'altri della mia famiglia, che tale mi ha rappresentato il desiderio di lui Agostino mio servitore di Camera et suo fratello.
Con questa occasione mi congratulo con l'AV deb felice arrivo della signore Principessa D(ona) Vittoria sua figlia, la presonza della quale a lei presuppongo sara' di molta contentezza, essi altrettanto glie l'auguro da D__ Nostro Signore, et con bacciarle cordialissimente le mani resto pregandola a favorirmi d'suoi comand___ti</t>
  </si>
  <si>
    <t>Rough Translation</t>
  </si>
  <si>
    <t>Having already assigned the place to my chaplain, Biagio, I had no other service to offer than to remember my Sallustio Mananni for any other reason that might arise, having him enrolled among the others of my family, as this was the wish of my chamberlain Agostino and his brother.
On this occasion, I congratulate Your Highness on the happy arrival of your daughter, Princess Dona Vittoria, whose presence I presume will be a source of great joy to you. I wish you the same from Our Lord, and with a most cordial kiss on your hands, I remain begging you to fulfill your commands.</t>
  </si>
  <si>
    <t>14 ottobre 1623, letter from Cardinal Carlo de' Medici to his sister Claudia, Princess of Urbino; Vittoria was only about a year old, and Claudia was not yet the Archduchess of Austria, so this is probably Vittoria arriving in Florence to be with her mother, CL, and MM to be raised there</t>
  </si>
  <si>
    <t>Letter from Cardinal Carlo de' Medici to Archduke Leopold of Austria sent from Florence 27 October 1626</t>
  </si>
  <si>
    <t>l'essere io cosi certo del cortese affetto di V.A., verso la persona mia, m'impone obbligo di darle gionalmente conto del mio ben essere del che potendomi io valero per attestazione della mia osservanza, con questo mi rassegno all'A.V., mentre che sto con desiderio continuo di haver le medisime di lei, et della Serenissima Signora Arciduchessa sua Consorte, e mia sorella. Supplico V.A. ad' honorarmi de suoi comand__ti et per fine le baccio cordialissimente le mani</t>
  </si>
  <si>
    <t>I am so certain of Your Highness's courteous affection towards me, which imposes on me the obligation to give you a daily account of my well-being, which I will use as proof of my compliance. With this I resign myself to Your Highness, while I remain with the constant desire to have the same from you, and from the Most Serene Lady Archduchess, your Consort, and my sister. I beg Your Highness to honor me with your commands, and finally I most cordially kiss your hands.</t>
  </si>
  <si>
    <t>1626/10/27</t>
  </si>
  <si>
    <t>234r</t>
  </si>
  <si>
    <t>235r</t>
  </si>
  <si>
    <t>from Carlo to his sister Claudia from Florence 31 October 1626</t>
  </si>
  <si>
    <t>1626/10/31</t>
  </si>
  <si>
    <t>Gratissime mi sono state le nuove della buona salute di V.A., che mi ha attecato il Giacomini nel ritorno suo qui, et riconoscendolo per la l___ra; della quale si e' compiaciuta accompagnarlo, tanto favorito della protezzione di lei, mi reputero obbligato per ogni suo interesse in tutte le occ[asio]ni di giovarli, accio apparisca sempre di quant'autorita' siene app___ di me i comand___ti dell'A.V. alla quale bacio cordialissimente le mani</t>
  </si>
  <si>
    <t>I have been very pleased with the news of Your Highness' good health, which Giacomini gave me on his return here, and, recognizing the l___ra with which you were pleased to accompany him, so favored by your protection, I consider myself obliged for all his interests to help him on all occasions, so that it may always be apparent how much authority the commands of Your Highness place over me, whose hands I most cordially kiss.</t>
  </si>
  <si>
    <t>248r</t>
  </si>
  <si>
    <t>1626/12/19</t>
  </si>
  <si>
    <t>Carlo to his sister Claudia from Florence 19 of Dic.re (December) 1626</t>
  </si>
  <si>
    <t>Conceda Nostro signore ___[Dio?]a' V.A. in questo S.__ statale, et nell'anno nuovo con gli altri appresso ogni felecita maggiore et come le saranno da me per ___ i tempi, desiderate; et mentre non ho voluto lasciarre di ____ hora l'A.V. con questo off___o la supplico ad aggradirlo con favor___ di darmene qualle la segno de suoi comand___ qui le bacio con ogni affetto le mani</t>
  </si>
  <si>
    <t>May Our Lord God grant to Your Highnesses in this Holy Year, and in the New Year with the others, every greater happiness and as I will wish for you in the times; and while I have not wanted to leave Your Highness for now, with this obedience I beg you to please Him with favor and give me some sign of your commands. Here I kiss your hands with all my affection.</t>
  </si>
  <si>
    <t>81r</t>
  </si>
  <si>
    <t>PDF Page</t>
  </si>
  <si>
    <t>Archival Page (r/v)</t>
  </si>
  <si>
    <t>Pisa</t>
  </si>
  <si>
    <t>MM to Claudia (as Princess of Urbino) from Pisa 12 April 1624; if "sposina/little bride" is referring to Vittoria, she's only about 2 at this time</t>
  </si>
  <si>
    <t xml:space="preserve">Ho havuto dispiacere di sentire il male della nostra serenissima sposina, ma poi alla fine questa e' una infirmita', che passa presto, et che poi accresce la salute a Bambini; et pero V.A. con sene dia travaglio; et accio che il roviglione venga fuora piu' presto, bisogna avvertire di tenerla calda; Intendo, che anche la serenissima Pincipessa Maria Maddalena ha il medesimo male; Il raccomandare all'A.V. l'una, et l'altra e' soverchio; onde io non entro in questo; ma credo bene, de la serenissima Principessa Maria Maddalena habbia particolarmente bisogno d'esser tenuta allegra, et a V.A., et a tutte bacio le mani; con desidderio di haver nuova del cont__io di come andranno le cose; Anche il Gran Duca bacia loro le mani; et in questo siamo tornati da Livorno. Di Pisa 12 di Aprile 1624
Alla quale soggiungo, che intorno a' quel negotio, di che V.A. mi ha scritto di suo pugno, io non posso risponderle questa sera, per trovarmi stracca, et che percio' mi son messa in letto sub[it]o tornata di Livorno, et m'assicuro, che mi scusera' </t>
  </si>
  <si>
    <t>I was sorry to hear of the illness of our most serene bride, but in the end this is an illness that passes quickly, and which then improves the health of the children; and therefore Your Highness should be concerned about it; and to make the stench clear more quickly, we must take care to keep her warm. I understand that the most serene Princess Maria Maddalena also has the same illness. To recommend both to Your Highness is excessive; therefore I will not go into this; but I believe that the most serene Princess Maria Maddalena particularly needs to be kept cheerful, and I kiss Your Highness and all your hands, with the desire to have news of how things will go. The Grand Duke also kisses their hands; and with this we returned from Livorno. From Pisa, April 12, 1624
To whom I add that regarding the business about which Your Highness wrote to me in your own hand, I cannot answer you this evening because I am tired, and that therefore I went to bed as soon as I returned from Livorno, and I assure you that you will excuse me.</t>
  </si>
  <si>
    <t>209r</t>
  </si>
  <si>
    <t>Maria Cristiana to Claudia her aunt, 13 May 1626</t>
  </si>
  <si>
    <t>1626/05/13</t>
  </si>
  <si>
    <t>Havendo io col silenzio che in sin qui ho tenuto con V.A.S. dato luogo al rispetto che io dovevo havere di non terrompere con mie lettere i gusti che V.A.S. a potuto havere nelle sue Serenissima Nozze adesso non no volsuto piu diferire il tempo a seriverli, si per rallegrarmi con l'affetto del suo buono arrivo, et parimente degli altri felici sucessi che intendo essere seguiti con tanto cumolo di grandezza e' sadisfatzione di V.A.S il che ___ a me e' di particolare contentezza, vedendo colocata la persona sua, in quello in me ricompensa in qualche parte il dolore della sua assenza e' con tal fine ricordan mi serva di cuore gli fo reverenza pregandoli dal Cielo ogni maggior contento della Monasterio della Serenissima Concessione di 13 di Maggio 1626</t>
  </si>
  <si>
    <t>Having with the silence that I have kept with Your Highness up to now given rise to the respect that I should have had in not interrupting with my letters the pleasures that Your Highness may have had in His Most Serene Wedding, I now no longer wish to postpone the time to serve You, both to rejoice with affection for Your Highness's safe arrival, and likewise for the other happy successes that I intend to be followed with such a great accumulation of greatness and satisfaction of Your Highness which ___ is a particular joy to me seeing His person placed in it, in that in me He compensates in some part the pain of His absence and with this aim I remember my servant from the heart I pay him reverence praying from Heaven every greater happiness of the Monastery of the Most Serene Concession of 13 May 1626</t>
  </si>
  <si>
    <t>139r-139v</t>
  </si>
  <si>
    <t>1626/02/15</t>
  </si>
  <si>
    <t>Lorenzo to his sister Claudia from Pisa 15 February 1626; Sending best wishes that Claudia will have a son; acted ceremonially as a groom for their niece Margherita's proxy wedding; their nephew Gio. Carlo is donating a galley to the Order of Malta</t>
  </si>
  <si>
    <t>La ___ che mi trovo di V. Altezza e de 30 del passato, per la quale con mio gran contento intendo la sua buona salute, et che era andata a Nala (or Hala?) in s litta guidata dal serenissimo Arciduca, et cosi con gran facilita' et piacere. Noi siamo a Pisa da quindici giorni in qua, et il Ca___e si passa con l'amdare ogni giorno a caccia, ma si fa poca preda, e___ pero' che di Castrone, del qual male in questa Citta' et in Corte e' dovi ha grande quest'anno, et pero' ne ho havuto la mia parte, et fin hora non mene trovo libero, et per questo tosso la notte et il giorno. Ieri feci da sposo, hanendo come procuratore del signore Duca di Parma fatto gli sponsali con la Signora Principessa Margherita ___[nostra?] nipote; et fin alla sera si passo il giorno ballando, ecco tutte le allegrezze, le quali per me son molte piccole a comparatine di quella che havero quando senta che V.A. habbia partrito in figliuolo 
maschio, et che stiano bene; il sigore mene conceda la gratia, come ne lo prego, et cordialmente bacio a V.A.S. le mani, sogguignendole che venerdi si naro' una galera, che e' quella che il signore Principe Gio. Carlo dona alla Religione di Malta.</t>
  </si>
  <si>
    <t>The ___ that I am Your Highness's, and of the 30th of last month, by which I understand with great pleasure that she is in good health, and that she had gone to Nala (or Hala?) in a sleigh driven by the Most Serene Archduke, and so with great ease and pleasure. We have been in Pisa for a fortnight now, and the Ca___e is spent by going hunting every day, but little prey is taken, and therefore of Castrone, of which evil in this City and at Court and where it has been great this year, and therefore I have had my share, and up to now I have not found myself free, and for this reason I am tossing night and day. Yesterday I acted as groom, having as attorney of the Lord Duke of Parma performed the wedding with the Lady Princess Margherita ___[our?] niece; And the day passed dancing until evening. These are all the joys, which for me are very small compared to the ones I will have when I hear that Your Highness has given birth to a son,
and that they are well. May Your Lordship grant me the favor, as I beg, and I cordially kiss Your Highness's hands, adding that on Friday a galley was built, which is the one that the Lord Prince Gio. Carlo is donating to the Order of Malta.</t>
  </si>
  <si>
    <t>183r-183v</t>
  </si>
  <si>
    <t>121-122</t>
  </si>
  <si>
    <t>117-118</t>
  </si>
  <si>
    <t>1626/03/08</t>
  </si>
  <si>
    <t>8 March 1626 letter from Lorenzo to his sister Claudia; Diets of the Holy Roman Empire have a wikipedia page for quick reference, but a quick search didn't come up with any diets specific to 1626: https://en.wikipedia.org/wiki/Imperial_Diet_(Holy_Roman_Empire); This name, Marchese Vettori, comes up in some of the letters after this one in the folder</t>
  </si>
  <si>
    <t>Io non solo spero che V.A.S ne habbia a fare un maschio, ma piu di due piacendo a Dio, et a tal ora siamo a questo, che per vederli, et somire a V.A. et al Serenissima Arciduca ___ei a posta, et in poste, si che favinne allegramente; siamo ancora qui, et si va passando il tempo con le prediche, et con le Cacce, credo che presto s'andra' a Firenze.		L'Ammirato ha mandato nota de diamanti piccoli che si trove__ in questa Citta et in Livorno al Marchese Vettori, V.Altezza comandi quello ho da fare in questo, et in ogni altra cosa, et conservimi la gratia del serenissimo Arciduca, al quale bacio affetuosamente le mani, come fu a V.A. 
La quale mi fangratia di pregare in mio nome il Serenissimo Arciduca di farmi sapere quello che di mano in mano passi conto della dieta da farsi in no__imbergo</t>
  </si>
  <si>
    <t>I not only hope that Your Highness will have a son, but more than two, God willing, and at this point we are at this point, to see them and pay homage to Your Highness and the Most Serene Archduke, so that he may do so cheerfully. We are still here, and the time is passing with sermons and hunting; I believe we will soon be going to Florence. Ammirato has sent a note of the small diamonds found in this city and in Livorno to Marquis Vettori. Your Highness may command what I have to do in this and in everything else, and preserve for me the grace of the Most Serene Archduke, whose hands I affectionately kiss, as I did Your Highness's.
Who is grateful to me for asking the Most Serene Archduke in my name to let me know what is gradually being done regarding the diet to be held in our inn.</t>
  </si>
  <si>
    <t>256r</t>
  </si>
  <si>
    <t>1627/02/11</t>
  </si>
  <si>
    <t>Mantova</t>
  </si>
  <si>
    <t>Roma</t>
  </si>
  <si>
    <t>Sendo Io piu' che sicura, che sentira' V.A. con particolare gusto la con chiasine di questi miei negoti col. signore D__nca, et essendosi per lo stabilimento d'essi sotoscritti da S.A. e da me mantedi prossimo a' sera li capitoli, vengo a darne parte all'A.V. et a pregarla di g_adine questa nuova demostrationi del mio debito verse lei, alla quale desiderosa d'incontrar occo__ni assai migliero di dicharare l'affetto singolare che le conservo resto __ baciar a V.A. la mano et augararle da Dio vera prosperita' Di Mantova a di ___ ___ 1627
la quali prego a scusarmi __ non li scrivo di mia mano et M. Abale mio Confessore suplica per me et a' tuo mi rimesso che li ho b___nato che raguagle ___ ___ bu___ ___________ felice parlo per il quali fe fore continue ____ a queste buone madre a __ mi ____</t>
  </si>
  <si>
    <t>1627 letter from Catherine to her sister Claudia</t>
  </si>
  <si>
    <t>Being more than certain that Your Excellency will hear with particular pleasure the details of these negotiations of mine with Lord Duncan, and since the documents for their establishment have been signed by His Excellency and maintained by me this evening, I come to inform Your Excellency of them and to ask you to send me this new demonstration of my debt to you, to whom, desiring to meet you very well, I will declare the singular affection that I bear for you, I remain __ kisses to Your Excellency. my hand and wish you from God true prosperity in Mantua on ___ ___ 1627
I beg your pardon, for I do not write it with my own hand, and my Confessor, M. Abal, begs for me and yours, that I have blessed you to join me ___ ___ good___ ___________ happy I speak for which I continue to send you ____ to these good mothers to ____ me ____</t>
  </si>
  <si>
    <t>ASF, Acquisti e Doni, Fol 142, Ins 8.</t>
  </si>
  <si>
    <t>Una lettera in data di Pisa 12 Aprile 1624 - molte altre lettere e carte riguardarti il g____co del Ponte a Pisa con due ___ della medesime</t>
  </si>
  <si>
    <t>Maria Maddalea Arciduchessa d'Austria Gran Duchessa di Toscana
Perche la Lavanda, che secondo l'Instituto nostro facciamo ogni Anno ai Poveri nela settimana Santa proceda con ordine, e maggior Devozione Voliamo che Il Canon__o m__ Paolo Tronci danoi espressa__e deputato, Quando ne detti giorni santi saremo In Pisa e legga ogni Anno per Il mercole di santo la mattina, tredici Donne, allequali laveremo li Piedi, et inoltre sette fanciullette, e sei fanciulli, e tutti siano confessati, e cominicati secondo l'eta' loro, et di haver cio eseguito ne habbino fede del Curato, e di questo il detto canonico ne avvisera' avanti, ed'ogn'altra cosa che bisogni portale effetto, Accio le cose passin con quiete e senza confus[io]ne. Havera' ancora particolar cura, che tali persone da eleggersi siano di buona fama povere vergognose, et originarie propie della citta' di Pisa, escludendo tutte l'altre, et avvertira', che la nostra Intension e', che d'una casa e famiglia della per manno cene sara' stato un suggetto, Il susseguente non vi deva piu essere Accio' dell'elemosina, che si da ne possin participare anco gli altri poveri, Per questo egli deve teneme in diligente Registro, e perche tali elezioni sino fatte con piu considerazione e giustizia, voliamo, et ordiniamo al mede s___ can__o che per questo fine, non deva ricever ne ammetter raccomandarne alcuna, Se ben fosse ben'ri stessi servition, e cortigiani. E quelle povere ancora che egli devra e legger p__nto rescritto particolae sieno con tutto cio visitate, e ritrovate habili, e con tutti i Requisiti, siammettin sub[it]o e quanto che no si escludino assolatamente che questa e' la nostra Volonta'. 
Dato In Pisa 12 Aprile 1624</t>
  </si>
  <si>
    <t>Maria Maddalena, Archduchess of Austria, Grand Duchess of Tuscany
So that the washing, which according to our Institute we perform each year for the Poor during Holy Week, may proceed with order and greater devotion, We wish Canon Paolo Tronci to give us express and delegated authority. When we are in Pisa on the said holy days and read every year on Holy Wednesday morning, thirteen women, whose feet we will wash, as well as seven girls and six boys, and all are to be confessed and sent according to their ages, and that they have performed this they are to have proof of this from the curate, and the said canon will advise us of this in advance, and anything else that needs to be done, so that matters may pass peacefully and without confusion. He will also take particular care that the people to be elected are of good reputation, poor, shameful, and native to the city of Pisa, excluding all others, and he will note that our intention is that if a subject of a house and family of the same household has been chosen, the next one must no longer be there. In order for the alms to be given, and for other poor people to be able to participate, he must keep a diligent register. And so that such elections are made with greater consideration and justice, we want and order the same person that for this purpose, he must not accept or admit any recommendation, even if they are from the same service and courtiers. And let those poor people, too, whom he will have to read and write in a particular way, be examined with all this, and found to be fit for purpose, and with all the requirements, be admitted immediately, and so long as they are not absolutely excluded, that this is our will.
Dated in Pisa, April 12, 1624</t>
  </si>
  <si>
    <t>1623/02/19</t>
  </si>
  <si>
    <t>Havendo la Serenissima Arciduchessa Granduchessa veduto con quanto affetto il Cavaliere Giovanbatista santa Proveditore dell'Arsanale protega il gioco del Ponte, Come persona conisciuta da S.A. molto a proposito in comandare alle quadre, lo deputa percio generale di tutta la gente da combattere Pero' non manche di far subito chiamare i detti Capitani di squadre, accio che essi sappinoda noi la nostra volonta' perche ciascuno virenda quella obbedienza che si deve come capo di tutti dalla quale ne procedono i buoni ordini, et la speranza delle Vittorie. Per queso il med.o generale non manche di ordinare i tutti che si mettino allord__e concordemente a fine che ___ si pronto perdar saggio di se med[esimo], et far prova del lor valore del quale SA si promette.</t>
  </si>
  <si>
    <t>I think there is either a real or a make-believe/festival battle that Maria Maddalena is coordinating in  the spring of 1623..? that's the sense I get from the 2 letters I transcribed and from skimming the documents from there to here; Ok apparently Gioco del Ponte is an annual Pisan festival that still goes on today. See the italian wikipedia page for an overview: https://it.wikipedia.org/wiki/Gioco_del_Ponte</t>
  </si>
  <si>
    <t>ASF, Acquisti e Doni, Fol 242, Ins 3.</t>
  </si>
  <si>
    <t>1624/04/12</t>
  </si>
  <si>
    <t>1609/08/22</t>
  </si>
  <si>
    <t>1609/10/13</t>
  </si>
  <si>
    <t>Ill.re Ambasc.re N.ro dilett.mo Noi scriviamo con l'aggiunta ha alla Maesta' della Regina in raccomandazione d'una lite che ha' in Napoli il Duca di Gravina, come potrete vedere dall'includo memoriale, et per che in essa ha interesse il signr Don Virginio Orsini Duca di Bracciano, per esser quel di Gravina suo parente, vogliamo che presentiate voi stesso la lettera a' S. M.ta quando pero ella si trovi in Madrid; et che le dimostriate anche in vote che questo negotzio mi e' particolarm.te a' cuore, et che pero' la supplichiate efficaccissimamente a' far dare in Napoli quelli ordini, di che l'ho' supplicata, per la buona et favorevole spedizione di quella lite per giustizia; et che procuriate ancora di far dare le lettere a voi, accio' che possiate inviale al medesimo G.D. Virginio, rimettendoci a' quel piu, che' S. Ecc.za medesima vi fara' intendere sopra questo negozio. Habbiamo mandato anche a S. M.ta un memoriale simile, pero' non ci occorre soggiugnervi altro il S.re Iddio vi conservi et contenti.</t>
  </si>
  <si>
    <t>Dearest Ambassador, We write with the addition to the Queen's Majesty in recommendation of a lawsuit that the Duke of Gravina is having in Naples, as you will be able to see from the enclosed memorial, and since Don Virginio Orsini, Duke of Bracciano, is interested in it, since the Duke of Gravina is her relative, we want you to present the letter to Her Majesty yourself when she is in Madrid; and to also show her in person that this matter is particularly close to my heart, and therefore to beg her most effectively to have the orders given in Naples, for which I have begged, for the good and favorable resolution of that lawsuit for justice; and that you also try to have the letters given to you, so that you can send them to the same G.D. Virginio, referring to what His Excellency Himself will tell you about this matter. We have also sent a similar memorandum to His Majesty, but we need not add anything else. May God keep you safe and happy.</t>
  </si>
  <si>
    <t>Il G. Don Virg:Orsino desidera, che la ser_ma sig_ra Arciduchessa gli faccia grazia di due lettere, l'una alla Maesta' della Regina di Spagna, et l'altra al Conte Orso d'Elci Ambasc__re di S. Alt.a in quella Corte, accio__ venga ordinato al Vice Re di Napoli in grazia dell'Alt.a Sua, che sia spedita con presta, et favorevole giustizia la Causa del Duca di Gravina per la pretensione, che ha' di dover succedere nello stato di Bisignano per la morte di Donna Giulia Orsina sua zia, il cui possesso gli viene ritardato per imputazione suscitategli contra de Don Iberio(?) Caraffa marito di d__a Sig__ra nello sparger voce, che ella sia morta di veleno per opera del Duca, beche apparischino del tutto vane dall'esser ella morta d'hidropisia benis__ conosciuta da' medici; oltre al dover essere alieni simili sospetti dalla persona del sud__ Duca, che e' tanto congiunto di sangue col G. Don Virginio, che egli ricevera' questo honore dalla benignita di S. Alt.a per fatto a' se medesimo(?)</t>
  </si>
  <si>
    <t>The Most Reverend Don Virg: Orsino wishes that the Most Serene Lady Archduchess grant him two letters, one to Her Majesty the Queen of Spain, and the other to Count Orso d'Elci, Ambassador of Her Highness to that Court, so that the Viceroy of Naples may be ordered, in thanks to Her Highness, to dispatch with prompt and favourable justice the Case of the Duke of Gravina for the claim he has to succeed to the state of Bisignano due to the death of Donna Giulia Orsina, his aunt, the possession of which is being delayed by accusations raised against him by Don Iberio(?) Caraffa, the Lady's husband, by spreading rumours that she died of poison at the hands of the Duke, although these rumours appear completely vain since she died of dropsy, which was well known to the doctors; in addition to the fact that such suspicions must be alien to the person of the southern Duke, who is so closely related by blood to the G. Don Virginio, that he will receive this honor from the benevolence of His Highness as a deed to himself(?)</t>
  </si>
  <si>
    <t>Ill__re sig__re Ambas__ N__ro dilett__mo. Oltre alla informazione che habbiamo delle vostre nobili et virtuose qualita', si fanno anche talm__te, sentire gl'effetti del buono et accetto servizio che tuttavia fate in cotesta carica, che Noi vi teniamo in quello honorato concetto che si deve al merito vostro, et vi testifichiamo d'haver molto particolarmente aggradito l'ossequente affetto di devozione, che ci havete mostrato con la v[ost]ra lettera, presentataci da mons__re Arcivescovo di Pisa nel suo ritorno. In tanto col servici costa' harete occasione di guadagnare ogni giorno piu' la benevolenza et grazia n[ost]ra; massima__te se ci darete spesso nuove della Maesta' della Regina et procurerete per via del P__re Riccardo suo Confessore, et di altri, et il s_re Iddio conservi</t>
  </si>
  <si>
    <t>Dearest Ambassador, In addition to the information we have of your noble and virtuous qualities, the effects of the good and acceptable service you are still performing in this office are also so felt that We hold you in that honorable opinion that is due to your merit, and We testify to you that We have particularly appreciated the obsequious affection and devotion that you have shown us with your letter, presented to us by the Archbishop of Pisa on his return. In the meantime, with your services you will have the opportunity to gain our benevolence and grace more and more every day; especially if you will give us frequent news of the Queen's Majesty and will try through Father Riccardo, her Confessor, and others, and may God preserve us.</t>
  </si>
  <si>
    <t>he is explicitly tasked with getting information about the Queen THROUGH the confessor (and others). That's what happened during Cosimo's marriage negotiations but I thought it was super weird and shady... is this actually normal and chill, or is getting info from the confessor akin to trading in secrets or espionage? Maybe it isn't since this is MM getting updates on her own sister, who I assume she could just sort of write to whenever she wanted</t>
  </si>
  <si>
    <t>Ill__re Ambas__re ___ dilett__mo. Essendoci stato rappresentato da voi il contento che lor Maesta' Cattoliche hanno sentito del Nostro felice parto era ben dovesse che havesse anco luogo la vostra congratulatione particolare, la quale, sapendo Noi esser proceduta da vero devotissimo affetto habbiamo maggiormente aggradita. Vene facciamo fede con questa lora ma piu' velo ratificheremo con le opere ogni volta che havremo occasione d'impiegarci per vostro benefizio et honore, et dal s___re Iddio vi desideriamo prosperita'.</t>
  </si>
  <si>
    <t>Dearest Ambassador, Since you have expressed to us the joy that Their Catholic Majesties have felt about Our happy birth, it was fitting that your special congratulations should also take place, which, knowing that We have proceeded from truly devout affection, We have greatly appreciated. We bear witness to this with this hour, but we will ratify it more fully with our actions every time we have the opportunity to work for your benefit and honor, and from the Lord God we wish you prosperity.</t>
  </si>
  <si>
    <t>Google Translate is translating "parto" to "birth," and I double checked with WordReference that "parto" does in fact mean "birth, childbirth, delivery."</t>
  </si>
  <si>
    <t>1610/09/02</t>
  </si>
  <si>
    <t>1610/10/09</t>
  </si>
  <si>
    <t>(to the Ambassador) 
Noi non havremmo il maggior gusto che di poter gratificare et servire la s__ra Contessa al'Altamira, la quale sappiamo molto bene che e' una s__ra di straordinario merito et di grandissimo valore, si che non ci moveremmo meno per il propio rispetto di lei, che per sapere quanto ella sia grata alla M__ta della Regina. Havendo Noi dunque sentito la richiesta che havete fatto per parte sua di raccomandare in Roma la spedizione del Diaconato di San Jac__o (Jacopo?) gia' proveduto nella persona d'un suo figlio, ne habbiamo scritto con ogni piu' efficace caldezza al s__re Cardinale dal Monte accio che informatosi dello stato di quel negotio, impieghi tutto il favore et l'autorita' sua difficulta' di tal natura che lo ritenghino indietro procuri di scoprirle, a' fine che dandosene avviso costa __ possa pensare a i rimedii di superarle. In somma, se harete occasione di vedere la d__ s__ra Contessa,, oltre al salutarla caram__te per parte nostra assicuratela pure che se bisognera' fare in Roma piu' d'una replica per tener sollecitato il negozio Noi lo faremo spontaneam__te et con la medesima affetione come su fusse cosa di Nostro proprio interesse come anco ci impiegheremo sempre volentierissimo in ogn'altra sua occorrenza. Dateci nuova con ogni Corriero della buona salute di lor Maesta' et de Principi et Principesse lor figliuoli; et il signore Iddio vi contenti.</t>
  </si>
  <si>
    <t>(to the Ambassador)
We would have no greater pleasure than to be able to gratify and serve the Countess of Altamira, whom we know very well to be a lady of extraordinary merit and great value, so much so that we would be moved no less by our own respect for her than by knowing how grateful she is to Her Majesty the Queen. Therefore, having heard the request you made on her behalf to recommend to Rome the despatch of the Diaconate of San Jacopo (Jacopo?), already provided for in the person of one of her sons, we have written with the utmost fervor to Cardinal Dal Monte so that, having learned of the status of that matter, he may employ all his favor and authority to resolve any difficulties of a nature that may hold him back, so that, upon receiving notice, he may consider remedies to overcome them. In short, if you have the opportunity to see the Countess, in addition to greeting her kindly on our behalf, assure her that if it is necessary to make more than one visit to Rome to keep the business moving, we will do so spontaneously and with the same affection as if it were a matter of our own interest, just as we will always gladly contribute to any other need she may have. Please keep us informed by every courier of the good health of Their Majesties and of the Princes and Princesses, their children; and may the Lord God please you.</t>
  </si>
  <si>
    <t>1610/12/01</t>
  </si>
  <si>
    <t>(to the ambassador)
Noi scriviamo alla M__ta della Regina in raccomandazione d'un desiderio del Marchese Gio:bata dal Monte (Cardinal del Monte or relative?) del tenore che vedrete dalla copia e vogliamo che presentiate voi stesso la lora accompagnandola in voce con quelle piu' efficaci parole che vi sovverranno, massimamente in testificatione del merito di questi sig__re molto ben conosciuti da voi, accio che con tanto maggior caldezza la M__ta sua habbia da favorire il negozio, il quale preme a' Noi grandem__te per le ragioni che habbiamo allegate nella detta letterea. E doppo che havrete fatto l'offitio con S. Mta siatene diligente promotore e sollecitatore appresso di tutti quelli che ci havranno da intervenire come se haveste da affaticarvi per Nostro particolare interesse, che tale stimiamo questo; e Dio vi conservi</t>
  </si>
  <si>
    <t>(To the ambassador)
We write to the Queen's Majesty recommending a request from Marquis Giobata dal Monte (Cardinal del Monte or relative?) of the nature you will see in the copy. We ask you to present it yourself, accompanying it verbally with the most effective words you can think of, especially in testimony to the merit of these gentlemen, who are very well known to you, so that her Majesty may all the more fervently support the matter, which is of great importance to Us for the reasons we have set forth in the aforementioned letter. And after you have fulfilled your duties with Her Majesty, be a diligent promoter and solicitor of it to all those who will have to intervene, as if you were working for Our particular interest, for such We consider this to be the case; and God bless you.</t>
  </si>
  <si>
    <t>1610/02/10</t>
  </si>
  <si>
    <t>(to the ambassador)
Noi scrivemmo gia' alla Maesta' della Regina, supplicandola a' favorire il sr felice di Gennaro, gentilhuomo Napolitano, per un luogo di Presidente, vacato per la morte del s__re scipione de curtis. Et per che il medesimo carico era anche chiesto da un altro Curtis, la qual famiglia e' stata sempre affezzionata di questa Casa, et il Gran Duca stesso scrisse alla Maesta' del Re in sua raccomandatione. Noi non ne facemmo instanza, se non in caso che il Curtis non ne fusse compiaciuto. Ora intendiamo che egli ne debbe essere escluso, et pero' se voi vi chiarirete che questo sia vero, vogliamo che opportunamente ricordiate, o' facciate ricordare alla Regina la Nostra richiesta in benefizio del Gennari, con assicurarla che questa gratia sara' ricevuta da Noi come propria; et il signore Iddio vi contenti.</t>
  </si>
  <si>
    <t>Man claims to have been ousted from his home in Leopold V's Austria for being Catholic (because of the Protestant tensions there that led to the 30 years war etc), and has arrived in Florence but wants to go to Spain</t>
  </si>
  <si>
    <t>E capitato qua' un giovane Tedesco, chiamato Gio: Ridolfo Vitzman suddito del serenissimo Arciduca Leopoldo nostro fratello nel vescovado d'Argentina, e ci ha' detto esser fuora della patria sua et anco privo de suoi beni per haver voluto lasciar heresie e ridursi a' vivere nella fede Cattolica; et essendosi risoluto di venire in Spagna per procurar qualche avviamento da poter vivere, ci haveva richiesto che Noi scrivessimo in sua raccomand__ne alla M.ta della Regina ma ci e' parso che basti di scrivere a' voi accio che sentiate le pretensioni di quest'huomo, e de qui vi giadichiate fino a qual segno convenga che ne parliate alla M.ta sua. Ci sara' ben caro che se vediete congiuntura buona da poterlo aiutare, o' in un modo o' in un altro voi lo facciate; e Dio vi conservi.</t>
  </si>
  <si>
    <t>A young German named Gio. Ridolfo Vitzman, a subject of the Most Serene Archduke Leopold, our brother in the bishopric of Argentina, arrived here. He told us that he was exiled from his homeland and deprived of his property because he had chosen to abandon heresies and return to living in the Catholic faith. Having resolved to come to Spain to find some means of support, he had asked us to write to recommend him to Her Majesty the Queen, but it seemed to us sufficient to write to you so that you might hear the man's claims and from there decide to what extent you should speak to Her Majesty about him. We would be very pleased if, if you see a good opportunity to help him, you would do so in one way or another; and God bless you.</t>
  </si>
  <si>
    <t>1611/06/08</t>
  </si>
  <si>
    <t>1611/07/22</t>
  </si>
  <si>
    <t>Ill. signore Cont'Orso Ambas.re nostro Dilett__mo Per. Il Leoni Corr__ Regio che passe a cote stavolta vi mand__mo in Rimvolto (?) ben ammagliato, dentro al quale a una vesta la quale per via de la s__ Contessa di Lemos, o, In quellla maniera, che piu parra' alla vostra prudenzia, Voliamo che presentiate in nostro nome alla M__ta della Regina di franc__a nostra nipote, et accompagniate questo Regalo, con quelle parole di complimento, che piu sonnerranno alla vostra discrezione, et che noi ci promettiamo dalla vostra destrezza, presentandola piu tosto come veste da viaggio, accio' tanto maggiorante venga scusato la tenuita' del Don__ et Honesto molto ardire. Dandoci poi __uviso che cosi l'haviate eseguisto, et Il s__ vi prosperi</t>
  </si>
  <si>
    <t>Illustrious Lord Count Orso, Our Most Beloved Ambassador, Per. Il Leoni, Royal Courier, who is passing by this time, we are sending you in a well-meshed wrapper (?), inside which is a dress which, by way of the Countess of Lemos, or, in whatever manner seems most to your prudence, We wish you to present in our name to the Lady of the Queen of France, our niece, and accompany this Gift with those words of compliment which will most please your discretion, and which we promise ourselves by your dexterity, presenting it rather as a travelling dress, so that the smallness of the Gift may be all the more excused and Honestly very bold. Then giving us approval that you have carried it out in this way, and may He prosper you.</t>
  </si>
  <si>
    <t>1611/09/12</t>
  </si>
  <si>
    <t>the ambassador congratulated MM on the birth of GiovanCarlo de' Medici (July 24 1611) and she says thanks</t>
  </si>
  <si>
    <t>Ill__ri Ambas__re Nostro dilett__mo. Essendoci ormai noto il devotiss__o affetto vostro verso di noi, stimavamo superflua la testifiazione della vostra allegrezza per l'ultimo felice parto che Dio ci ha concedato; non dimeno c'e' stata gratissima l'espressione fatta cene da voi per lettera; e vi confermiamo quella volonta' che altre volte havete potuto conoscere in Noi verso ogni vostro benefizio et onore, anzi con l'augmento che meritano le vostre virtu'. et il corso della buona e da noi molto agradita servitu' vostra in cotesta carica; e dal sig__re Iddio vi desideriamo ogni maggior bene</t>
  </si>
  <si>
    <t>Our beloved Illustrious Ambassadors, Since your most devoted affection for us is now known to us, we considered it superfluous to express your joy at the latest happy birth that God has granted us; nevertheless, the expression you expressed in your letter was most pleasing to us; and we confirm to you the desire that you have on other occasions been able to recognize in Us for all your benefits and honors, indeed for the increase that your virtues deserve, and the progress of your good and very welcome service in this office; and from the Lord God we wish you every greater good.</t>
  </si>
  <si>
    <t>1615/10/02</t>
  </si>
  <si>
    <t>basically a rec letter</t>
  </si>
  <si>
    <t>Dovera' esservi presentata questa dal signore Fran___ Mareri(?) Gentilhuomo Romano, il quale transferendosi costa' per alcuni suoi affari, riconera' all'opera, et aiuto vostro, per poter'essere tanto piu' facile, et favorevolmente spedito; et Noi, che desideriamo grandem__ di giovarli, per rispetto di chi cen'ha' ricerco, haveremo cariss__ oltre modo, che secondo le richieste, che di mano in mano egli vene fara' voi parliate a' favor suo in nome nostro, et a' s. m__ta, et al signore Duca di Lerma, et a' chiun___ altri bisogni; siche fatelo con ogni prontezza, et efficacia, et il signore Iddio vi conservi, et contenti</t>
  </si>
  <si>
    <t>This must be presented to you by Mr. Francesco Mareri(?), a Roman gentleman, who, having moved there for some business of his, will turn to your work and help, so that things can be much easier and more favorably expedited; and We, who greatly desire to help him, out of respect for those who have requested it, will be very kind, in particular, that according to the requests that he will make from time to time, you speak on his behalf in our name, and to his Majesty, and to the Lord Duke of Lerma, and to anyone else in need; so do it with all promptness and effectiveness, and may the Lord God preserve you and be happy.</t>
  </si>
  <si>
    <t>1615/10/22</t>
  </si>
  <si>
    <t>Il Pre__ Pedro Garzes non e' ancora comparso qua', ma' Noi habbiamo in ogni modo ricevuto la lettera, che voi gli deste per Noi, et poi vedremo voltentieri ancor lui, quando egli passera' di qua'. Quelle Cifere lasciatevi in mano da lui, hacete fatto bene a' non mandarle, et le brucerete, et il signore Iddio vi conservi, et contenti</t>
  </si>
  <si>
    <t>you did well not to send the ciphers he gave you and (future tense, as if he hasn't done so yet and this is an instruction) burn them</t>
  </si>
  <si>
    <t>a priest gave Orso d'Elci secret ciphers! MM says good job not forwarding them, burn them!</t>
  </si>
  <si>
    <t>Cafaggiuolo</t>
  </si>
  <si>
    <t>Siena</t>
  </si>
  <si>
    <t>1611/11/06</t>
  </si>
  <si>
    <t>Sappiamo che havreste voluto far con noi qualsivoglia altro offizio, che darci nuova cosi' dolorosa, come e' stata quella della morte della morte della M__ta' della Regina, Nostra amatissima sorella. ci e' stata non dimeno gratissima la condoglienza che n'havete fatta con esso noi, sapendo che e' proceduta dall'intimo del vostro cuore; poiche oltre al devotissimo affetto vostro verso il servizio di questa Casa ci e' nota la part_re osservanza che portavate a' quella benedetta anima, et la confidenza che ella haveva nella persona vostra. Questi rispetti accresceranno in Noi ogni di piu' l'inclinazione et la volonta' che portiamo al merito della vostra buona et accetta servita; et vela confermeremo anche con l'opere; e Dio vi contenti</t>
  </si>
  <si>
    <t>We know that you would have liked to do us any other service than to give us news as painful as that of the death of the Majesty of the Queen, Our most beloved sister. Nevertheless, the condolence you have expressed to us has been most grateful, knowing that it came from the depths of your heart; for, in addition to your most devoted affection for the service of this House, we are aware of the special respect you had for that blessed soul, and the confidence she had in you. These respects will further increase in Us the inclination and the will we have to merit your good and acceptable service; and we will also confirm it with our works; and may God please you.</t>
  </si>
  <si>
    <t>Ambassador brought MM the news of her sister's death (Queen of Spain); Margaret is only 3 years older than MM and she died at age 26</t>
  </si>
  <si>
    <t>Queen of Spain's confessor (is Riccardo Haller the same confessor she had while Ferdinando I was arranging Cosimo II's marriage who leaked information?); ok, really interesting about the Queen's confessor having writings from her in German that MM wants burned; I'm very interested in secrecy in these letters and I wonder if it warrants a chapter in the project... something called "Family Secrets" that analyzes the use of ciphers in family correspondence/important gov issues like marriage negotiations</t>
  </si>
  <si>
    <t>Ci e' dispiaciuta grandem__te la morte del P~re Riccardo Haller, gia' confessore della Regina Nostra sorella, perche lo conoscevamo per un buono e savio religioso, e percio' gli portavamo affezzione piu' che ordinaria. Habbiamo sentito la diligenza che havevate fatto accio' si mettessero da banda le scritture che egli teneva in lingua Alemanna, per farle abbruciare, ma se elle sono ancora in essere, desidereremmo che voi procuraste di farvele consegnare per mandarle qua' in Nostra mano, poiche una parte di esse sono uscite da Noi per farlo mostrare alla Maesta' della Regina, e quando bisogni dirne una parola al signore Duca di Lerma, fatelo per parte Nostra; e Dio vi conservi</t>
  </si>
  <si>
    <t>We were greatly saddened by the death of Father Richard Haller, former confessor of Our Sister Queen, because we knew him to be a good and wise religious man, and therefore we had a more than ordinary affection for him. We have heard of the diligence you have made to have the writings he kept in the German language put aside for burning, but if they are still in existence, we would like you to try to have them delivered to you so that we can send them here into Our hands, since some of them have been left by Us to be shown to the Queen's Majesty, and when it is necessary to say a word about them to the Lord Duke of Lerma, do so on Our behalf; and God save you.</t>
  </si>
  <si>
    <t>1612/06/19</t>
  </si>
  <si>
    <t>1612/07/10</t>
  </si>
  <si>
    <t>recommendation of Jacopo Malvezzi of Bologna</t>
  </si>
  <si>
    <t>La famiglia de Malvezzi di Bologna, come voi sapete, e' tanto conosciuta in Europa, che anco in cotesta corte crediamo esserne particolar notizia. E perche tutti hanno fatto sempre aperta professione d'esser serv__ri affezzionati e parziali di questa Casa, non habbiamo voluto mancare di compiacere il Signore Jacopo Malvezzi con una nostra raccomandazione, intoerno al suggetto contenuto nell'incluso suo memoriale. Non c'e' parso gia' conveniente di scrivere al Re medesimo, per non dargli moltestia con Nostre lettere in simili materie; ma commettiamo bene a' voi, che facciate offizio per il detto signore Jacopo, in tutto quello che conoscerete potergli giovare, parlandone non solamente a' i ministri principali ma anche a' S. M.ta medesima, se lo giudicherete opportuno, et che la qualita' della pretensioni vene diano animo; il che rimettiamo alla prudenza vostra, e Dio vi contenti</t>
  </si>
  <si>
    <t>The Malvezzi family of Bologna, as you know, is so well known in Europe that we believe it is well-known even in this court. And since they have always openly professed to be affectionate and sympathetic servants of this House, we did not want to fail to please Lord Jacopo Malvezzi with our recommendation regarding the subject contained in his enclosed memoir. We have not yet deemed it appropriate to write to the King himself, so as not to inconvenience him with our letters on similar matters; but we urge you to make an effort on behalf of the said Lord Jacopo in everything you know that can be of help to him, speaking about it not only to the principal ministers but also to His Majesty himself, if you deem it appropriate, and that the nature of the claims encourages you; which we leave to your prudence, and may God be pleased with you.</t>
  </si>
  <si>
    <t>1612/07/28</t>
  </si>
  <si>
    <t>Volentieri sempre ci adoperemo per voi et per tutti i vostri parenti, et amici raccomandatici, come faremmo ancora al presente nella domanda del Dottor Jantoni, se non credessimo, che gia S.A. havessi determinato nell'animo suo il suggetto per questa Rutta; pero' non stimia__ poterne succedere altro. In altre occasioni saremo sempre pronte ad aiutarlo, et farli conoscere il conto, che facciamo della vostra intercessione, et restando con la solita buona volonta verso di voi preghiamo il Re vi prosperi</t>
  </si>
  <si>
    <t>We will always gladly do our best for you and for all your relatives and friends recommended to us, as we would do at present in response to Dr. Jantoni's request, if we did not believe that His Majesty had already determined in his mind the subject for this Rutta (role..?); however, we do not believe anything else could happen. On other occasions, we will always be ready to help him and let him know the value we have of your intercession, and remaining with the usual good will towards you, we pray that the King may prosper you.</t>
  </si>
  <si>
    <t>Polite negative response to a recommendation</t>
  </si>
  <si>
    <t>1612/08/07</t>
  </si>
  <si>
    <t>Il contento che havete mostrato del nostro ultimo parto con salute e' stato conforme al vostro solito devotissimo affetto verso di Noi, e pero' habbiamo aggradito l'offizio quanto conveniva. Gia' sapevamo quanto era grata alla M.ta della Regina Nostra sorella che sia in Cielo, la servitu' della signora Duchessa di Gandia, e pero' ci e' stato accettissimo il complimento che ella ha' fatto con Noi, et nela ringraziamo con la risposta che sara' con questa; alla quale la presenterete, facendole anche fede in voce di quanto ella si puo' promettere di Noi nelle occorrenze di suo servizio. In proposito delle lettere et scritture che potesse havere il P~re Riccardo Haller (The Queen's confessor who recently passed away), non ci occorre replicar altro, havendo noi fatto tutta la diligenza che si poteva; e Dio vi conservi</t>
  </si>
  <si>
    <t>The happiness you have shown at our recent and healthy birth was consistent with your usual, most devoted affection toward Us, and therefore We have accepted the service as appropriate. We already knew how grateful the Queen, Our sister in Heaven, was for the service of the Duchess of Gandia, and therefore the compliment she paid Us was most welcome, and We thank her for it with the reply that will be included with this one, to which you will present her, also verbally confirming to her what she can promise of Us in the circumstances of her service. Regarding the letters and writings that Father Richard Haller (the Queen's confessor who recently passed away) may have, We need not reply further, having done all the diligence we could; and God bless you.</t>
  </si>
  <si>
    <t>it's not clear what happened to the documents Father Richard Haller had from the Queen... it sounds like MM's two desired outcomes (either burn them or get them to her) may not have happened and she has dropped the issue, but I am not sure;     also, another congrats on another birth. This time it must be about Margherita (31 May 1612). Was Margherita named for his sister Queen Margherita of Spain who just passed? That is such an interesting coincidence that her first daughter after the Queen's death is named Margarita, so I wonder if that is the case.</t>
  </si>
  <si>
    <t>There are a few occasions where someone asks MM for her aid and intercession and then MM tells Count Orso about it and basically passes the torch to him. So I guess this is her making good on her promises to intercede for those folks.</t>
  </si>
  <si>
    <t>1613/04/13</t>
  </si>
  <si>
    <t>E' capitato qua ___ [vostro?] Cav__re di Malta Tedesco chiamato fra Gio:David Veiller, il quale raccontro di haver servito S Mta Catt[olic]a in mare con alcuni suoi Vasselli propii sotto la __ia del Conti Scerlei Inglese. Di poi dice esser venuto in discordia con il detto Conte per le cagioni che voi sentirete dall'aggiunto memoriale et egli stesso dovra' informarvi anche muoce, poiche due di voler venir a' cotesta Corte per questa, et altre sua pretensioni, et havendoci richesto(?) li qualche favore, non ci e' parso di poterne mancare, per essere egli di quella nazione, pero' ascoltatelo volentieri, et conoscendo che le sue doma[n]de habbino qualche appare__ra di giustitia, giovare, se bene ci rimettiamo alla prudenza vostra che facciate questo offitio fino a' quel segno che vi parra', et con le debiti coriospetione (?), et il signore Dio vi conservi</t>
  </si>
  <si>
    <t>A German Knight of Malta called Fra Gio:David Veiller happened to come here, and he said he served the Catholic Church at sea with some of his own vessels under the command of the English Count Scerlei. Then he says he has come into disagreement with the said Count for the reasons that you will hear from the attached memorial and he himself will also have to inform you of this, since two of them want to come to that Court for this and other pretensions of his, and having asked us (?) for some favor, it did not seem to us that we could refuse it, since he is of that nation, therefore listen to him willingly, and knowing that his requests have some appearance of justice, to help, although we leave it to your prudence to carry out this office up to the point that seems to you, and with the due consideration (?), and may the Lord God preserve you</t>
  </si>
  <si>
    <t>1613/08/16</t>
  </si>
  <si>
    <t>Pietro Garzes is the SAME GUY who tried to give Count Orso ciphers and MM said to burn them. See PDF page 28.</t>
  </si>
  <si>
    <t>Noi facevamo tanta stima della bonta' e del merito del Pre~ Riccardo Haller mentre egli visse che l'havevamo quasi in venerazione onde quando non havessimo altra notizia del Pre Pietro Garzes, ci basterebbe il sapere che egli sia stato compagno d'un si buon Religioso per tenerlo in un ottimo concetto come veram[ente?] lo teniamo. Alli giorni passati  ricevemmo una sua lettera, per la quale ci fece un amorevolissimo saluto in nome di cotesti  signore Principe e Principesse, offizio da noi sommamente gradito et apprezato. Pero' vogliamo che voi ringraziando per parte Nostra il detto Padre dell'ambasciata fattaci, lo preghiate ancora, che quando egli ne havra' opportuna occasione baci le mani per noi alli detti signori Principi et Principesse. __rendendo loro le nostre salutazioni affettuosissimamente Gli farete anche fede dell'affezzionata volonta' che portiamo a' lui, et che ci impiegheremo sempre volentierei per ogni suo benefizio e contento; e Dio vi conservi</t>
  </si>
  <si>
    <t>We had such high regard for the goodness and merit of Father Richard Haller while he lived that we almost held him in veneration. Even if we had no further news of Father Peter Garzes, it would be enough for us to know that he was the companion of such a good religious man to hold him in the highest regard, as we truly do. A few days ago we received a letter from him, in which he sent us a most loving greeting on behalf of the Prince and Princess, an office we have great gratitude and appreciation. Therefore, we wish you, while thanking the said Father on our behalf for the message he sent us, to also ask him to kiss the hands of the said Princes and Princesses for us when he has the appropriate opportunity. By returning our most affectionate greetings to them, you will also give proof of the affectionate desire we bear him, and that we will always willingly employ ourselves for his every benefit and happiness; and God keep you</t>
  </si>
  <si>
    <t>1613/10/03</t>
  </si>
  <si>
    <t>Il Duca di Gravina e' parente stretto del signore Don Virginio tanto congiunto con questa Casa quanto noi sapete, pero' mi par d'essere in obbligo di giovare alle cose sue in tutto quello che per me si possa Ci ha' fatto intendere di havere in cotesta corte alcune liti di non piccola importanza, et richiesstoci di favorirlo con nostre lettere. Vogliamo adunque che voi vi adoperiate in aiuto suo, parlandone non oblamente a' i preincipali ministri, et ad ogni altro che bisogni, ma a' S. Mta medesima, sene sareste richiesto dalli Agenti del detto Daca, iquali vi doveranno informare di tutto il negozio cosi(?) vene governereste in quel modo che vi dettera' la solita vostra prudenza, purche il Duca sappia che Noi vi habbiamo raccomandato questi suoi affari con molta caldezza; e Dio vi conservi</t>
  </si>
  <si>
    <t>The Duke of Gravina is a close relative of the lord Don Virginio, so closely connected with this House as we know, therefore I feel obliged to help him in all that I can. He has made it known to us that he has some disputes of no small importance at this court, and has asked us to assist him with our letters. We therefore want you to take action to help him, speaking about it not obliviously to the principal ministers, and to anyone else who is necessary, but to Her Majesty herself, if you are requested to do so by the agents of the said Duke, who must inform you of the entire affair, so that you will manage it in the way that your usual prudence dictates, provided that the Duke knows that We have recommended these affairs of his to you with great warmth; and God preserve you.</t>
  </si>
  <si>
    <t>1613/11/15</t>
  </si>
  <si>
    <t>Voi vedete dall'alligato foglio il merito de' servitti fatti a' coste sta Corona da Conte Marc'Antonio Malvezzi et la ragione ch'egli ha (di o chi?) pretendere la mercede, che chede a' S. Mta, o' d'un titolo di Marchese nel Regno di Napoli per suo aiuto di costa, o' d'una pensione; et perche oltre all'esser Cav. to molto degne, et stimabili qualita' et accett__ ser__ del Gran Duca costro signore et marito, e anche da noi molto amato, sentiremo volentieri, che abbracciando voi la sua Domanda gia' indotta, et assai bene incaminata da un suo Agente, per quanto egli ci affirma, facciati tutto quello, che sia possibile in aiuto del buon'effetto di essa scrivendone noi cosi efficacemente con approvatione, et licenza di S.A.; et Il [signore] Iddio vi conservi, et contento</t>
  </si>
  <si>
    <t>You see from the attached sheet the merit of the services rendered to this Crown by Count Marc'Antonio Malvezzi and the reason he has for asking for the mercede (compensation, reward?)  he asks of His Majesty, either the title of Marquis in the Kingdom of Naples for his help in the cost, or a pension; and because, in addition to being a Knight of very worthy and estimable qualities and accepted servant of the Grand Duke, this lord and husband, and also much loved by us, we will gladly hear that, embracing his Request already induced, and very well directed by one of his Agents, as he affirms to us, you will do everything possible to help the good effect of it by writing to us so effectively with the approval and permission of His Highness; and may [Lord] God preserve you, and be pleased</t>
  </si>
  <si>
    <t>Scriviamo al Re Innsp__  [Innspruch?] della sua amorevolissime lettera, e voliamo che con S. Mta medesimo nel presentargliela, et con che vi pare a proposito significhiate Il dispiacer che haviamo havuto della Indisp[ensio]ne de serenissimi suoi figli nostre nipoti, della cui salute ci seriverete spesso premendoci molto, e furete anco sapere, che Madama Madre, et io procureremo, che sieno apparecchiati certi Remedii per levar' i segni del Vaiolo, che son sicure, e provati ne figli ______ Casa Et havremo anco caro, che ci ragguagliate qualche volta delle Cose di cotesta Corte, poiche non vi e' piu ness[un]o che se ne avvisi, et il [signore Iddio] vi prosperi</t>
  </si>
  <si>
    <t>We write to King Innsp__ [Innspruch?] of his most loving letter, and we want you to convey to His Majesty himself, in presenting it to him, and with what you think is appropriate, the regret we have had for the indispensability of his most serene children, our nipoti, about whose health you will often serve us by pressing us much, and you will also want to know that My Lady Mother (Christine of Lorraine, probably) and I will ensure that certain remedies are prepared to remove the signs of smallpox, which are safe and proven in the sons of the House. And we would also like you to inform us sometimes of the affairs of this Court, since there is no one left who takes notice of them, and may the Lord God prosper you.</t>
  </si>
  <si>
    <t>1614/02/06</t>
  </si>
  <si>
    <t>Venendosene a cotesta Corte Ottavio Bernardi Gentilhomo Bolognese per suoi particolar negozii ci ha fatto ricercar di Volerci scrive__re In sua raccomandazione, et haviamo voluto compiacer' chi con ha richiesto, ma pero' con rimettere alla vostra discrezione, e solita prudenza Il farli in quelle occorrense che vi parrandi puro suo serv__o et nostra sodisfaccione. et Il signore vi prosperi</t>
  </si>
  <si>
    <t>Ottavio Bernardi, a gentleman from Bologna, having come to this Court for his particular business, has asked us to write to us on his recommendation, and we wanted to please those who have requested it, but we leave it to your discretion and usual prudence to do so in those cases where it seems to you to be his pure servant and to our satisfaction. And may the Lord prosper you.</t>
  </si>
  <si>
    <t>She does "intercede" on behalf of everyone who asks, but really she just goes "hey this guy asked me for help and I said yes, but he's your problem now, do whatever you want." That's the sort of glib way of looking at it, obviously it is more complicated and speaks to the competence of Count Orso, their relationship, MM's obligations for interceding for basically anyone who asks, etc.</t>
  </si>
  <si>
    <t>the good health of His Majesty and of the most serene spouses..? This is 1616. Margaret died in 1611 and Phillip never remarried so I'm not sure what this means.</t>
  </si>
  <si>
    <t>La vostra lettera de 19 di febbraio cosi prina di ragguagli della buona salute di S. Mta et de i serenissimi sposi, et degli altri Infanti miei nipoti mi e stata grat__ma, et desidero, che andiate continuando di darmene spesso avviso, essendomi per l'osservanza, et affezion, ch'io gli porto, molto a' cuore il saperne nuove. Mi e stata anco oltre modo cara la notizia, che m'havete data di quello, vi ha' conferito il signore duca di Lerma, et della buona correspondenza, che cui ha promesso tener con esso voi per aumentarei la buona gratia di S. Mta, et come haviamo resoluto d'a__ttare le sue Amorevoli offerte, et il vostro consiglio, cosi volgiamo che nel presentargli le accluse gli rendiate gratie in nome nostro, soggiungendoli quelche piu parra' a proposito alla vostra destrezza, e prudenza, nella qual ci rimettiamo, e preghiamo Il signore che vi prosperi</t>
  </si>
  <si>
    <t>Your letter of February 19th, so full of information about the good health of His Majesty and of the Most Serene spouses, and of the other Infani, my nipoti, was grateful to me, and I desire that you continue to inform me of it often, since, due to the respect and affection that I bear him, I am very keen to hear news. I was also extremely pleased with the news you gave me of what the Lord Duke of Lerma has given you, and of the good correspondence he has promised to maintain with you to increase the good graces of His Majesty, and just as we have resolved to accept his loving offers and your advice, so we desire that in presenting him with the enclosed letters you return thanks in our name, adding whatever seems most appropriate to your dexterity and prudence, in which we rely, and we pray the Lord that you prosper.</t>
  </si>
  <si>
    <t>1616/04/20</t>
  </si>
  <si>
    <t>1616/04/15</t>
  </si>
  <si>
    <t>just thinking here. it's a good thing to have BOTH maria maddalena and christine of lorraine at the medici court because even though those two nations are/have been at odds, they aren't completely at odds all the time. it is good to be allied with both of them when possible and only pick sides when you sort of have to. and anyway, Margaret and Phillip's daughter Anne is the Queen of France, so it's not like they aren't connected by blood just like every other important court</t>
  </si>
  <si>
    <t>59-60</t>
  </si>
  <si>
    <t>Per continuar' la cominciata confidenza scriviamo al Re, et al Signore Duca di Lerma, et haviam[o] fatto capital del vostro prudente Avvertimento, mandando la lettera per S. Mta tutta di nostra m~a_ (?), et la Inviamo inclusa nel medesimo Piego del Esso signore Duca, che lo presenterete, accompagnandolo con quelle parole, che piu' vi parranno a preposito in rimostranza di detta confidenza, et del nostre Devotissimo affetto verso la Mta sua; Appresso desideriamo, che havendo Pietro Tacca (or Tava?) scultor del Cavallo, mandato a Donare al Re un Crucifisso di Bronzo, che a' venderlo qua' ne havria potuto cavar' due mila scudi, voi destram__e insinuasse al signore Duca di Lerma Il Primor dell'Artifizio d'esso, et il suo pregio, et poi concludesse, che havendo quest'Artefice di sup proprio moto donato si bell'opera ad un Re tanto potente, che egli ha sperato, che dalla sua Real mano, deva venir ricompensa piu', che equivalen__te et Informatelo ancor'che quest'huomo per la sua virtu' e' molto amato, et prezzato dal serenissimo Gran Duca, et da' me, Accio' che tanto piu volentier' S. Ecc__a habbia a protegerlo, et rappresentar' a' __ M.ta la conven__za del Remunerarlo. Rimettendo il resto alla Dilig[enza] et prudenza vostra; Volendo che haviate per raccomandato ancora Il Proposto di Massa duo frello [fratello], che e Venuto costa a' presentar Il Cavallo, ma avvertiretedi frattar In modo, che si il Re gli fara' alcuna mercede non apparisca fatta a conto nostro. Et Il signore riprosperi.</t>
  </si>
  <si>
    <t>To continue the confidence we have begun, we write to the King and to the Lord Duke of Lerma, and we have taken advantage of your prudent advice by sending the letter to His Majesty entirely from our mother (?), and we are sending it included in the same envelope from the Lord Duke, which you will present to him, accompanying it with those words which you consider most appropriate in demonstration of the said confidence and of our most devoted affection towards his Mother; We next desire that, since Pietro Tacca (or Tava?), the sculptor of the Horse, has sent a Bronze Crucifix to the King, which he could have sold here for two thousand crowns, you should dexterously insinuate to the Lord Duke of Lerma the origin of its workmanship and its value, and then conclude that since this Artist has of his own accord donated such a beautiful work to such a powerful King, he has hoped that from his Royal hand, a more than equivalent reward will come. and also inform him that this man, for his virtue, is much loved and prized by the Most Serene Grand Duke, and by me, so that His Excellency will be all the more willing to protect him and represent to the Majesty the King the appropriateness of remunerating him. Leaving the rest to your diligence and prudence. I want you to also have recommended the Provost of Massa, his brother, who came here to present the Knight, but you will take care to do so in such a way that if the King gives him any reward, it will not appear to have been done at our expense. And [basically God bless you]</t>
  </si>
  <si>
    <t>1616/02/08</t>
  </si>
  <si>
    <t>Sapete che altre volte haviamo scritto costa a favor'del Dottor Pompeo Battaglino, hora essendo vacata in Napoli nella sommaria una Piazza di Presid__te [or maybe Prend__te?] per morte del' Dottor Giulio Minadois, e venendo ricercata di volei di nouvo scriver al' signore Duca d'Uzeda accio' l'impetri haviamo voluto scriver' a voi solamente, e voliamo, che in quel miglior' modo, che giudicherete piu aproposito procuriate che il d__ Duca dacci offitio costa', e col Vice Re di Napoli per questa giusta pretensione del'Battaglino, e non mancate della solita vostra buona diligenza, che ne sentiremo molto piace, e nostro __ig__ vi prosperi</t>
  </si>
  <si>
    <t>You know that on other occasions we have written here in favor of Doctor Pompeo Battaglino, now that a Presid__te Square [or maybe Prend__te?] has been vacant in Naples due to the death of Doctor Giulio Minadois, and since we are asked to write again to the Lord Duke of Uzeda to obtain it, we wanted to write to you only, and we want you to ensure that the Duke gives us this office in the best way that you deem most appropriate, and with the Viceroy of Naples for this just claim of Battaglino, and do not fail in your usual good diligence, for we will be very pleased with it, and our good fortune to you.</t>
  </si>
  <si>
    <t>1618/03/15</t>
  </si>
  <si>
    <t>Viene al Capldhnle..? il Pre fra Gregorio da Rassina ministro de m__ oss__ti di Toscana, quale noi vi raccomandiamo, accio lo aiutiate in quelle honeste domande, e pretensioni di esser promosse al Diffinitorato [word crossed out i think], o' guardiano di herusalem/Gerusalem, che egli desidera rimettendocene pero' alla molta prudenza vostra, pregando il Sig__re che vi prosperi</t>
  </si>
  <si>
    <t>The priest Fra Gregorio da Rassina, minister of the monks of Tuscany, comes to ___, whom we recommend to you, so that you may help him in those honest requests and claims to be promoted to the office of [word crossed out i think], guardian of Jerusalem, which he desires, leaving it however to your great prudence, praying to the Lord that he may prosper you.</t>
  </si>
  <si>
    <t>1618/03/26</t>
  </si>
  <si>
    <t>Haviamo ricevuto la lettera del S. Mta che molto amorevolmente li scrive, et se bene era Inrisposta d__nra__ antecedente, haviam preso occasion del replicare e scriviamo ancora al Duca di Lerma, che potra' dar la lettera oportunamente e faverirci secondo Il suo solita, e voi potute in quel modo che pare a___ fargli haver l'accluso prego. Quanto alle tele d'oro per Il monast___o della Regina nostra sorella, che sia In cielo, vi si scrisse che Il tempo non poteva esser'bastante per con dur le a fine, ma non si manche __a sollecitarle piu che sia possibile nostro signore vi prosper__</t>
  </si>
  <si>
    <t>We have received the letter from His Majesty, who writes to you very kindly, and although it was the previous reply, we have taken the opportunity to reply and we are writing again to the Duke of Lerma, who will be able to deliver the letter in a timely manner and assist us as usual, and you can do as you see fit by having the enclosed request. As for the gold cloth/canvas/fabric for the monastery of our sister Queen, who is in heaven, we wrote that there would not be enough time to complete them, but we will not fail to urge them as much as possible, our lord prospers you.</t>
  </si>
  <si>
    <t>1616/00/00</t>
  </si>
  <si>
    <t>ASF, Carte Strozziane, Terza Serie, Fol 92, Ins 1.</t>
  </si>
  <si>
    <t>11r</t>
  </si>
  <si>
    <t>1624/07/26</t>
  </si>
  <si>
    <t>A letter from MM to her niece, the queen of Spain, recommending Alessandro Strozzi.</t>
  </si>
  <si>
    <t>Sacra R[egina] Catt.a M.ta
In quel che potra approfittar’ l’opera mia, nela pretension del canon.@ Alessandro Strozzi, Io non manchero’ chi(di?) far le conoscer’ __nto io stimi la intercession di V.M.ta., che mi ha favorito dupplicatam(en)te, nel raccomandarmi la persona del __ Can_ni__, quale hauro’ In molta considerasion nelle occasion, che verranno, che nominero’ Instantemente a S.S.ta dala quale ha da depender’ la grazia. Laricenero ben per polto particolare, quando accertero’ al gusto, et serv. Di V.M.ta Desiderando sommante esercitar’ la mia singolar’ osservanza, et Devozione, con la qual reverente bacio la mano a V.M.ta pregando il sig.or che la conservi sempre felicissima
__ fiorent(z)a li 26. di lug. 1624. 							Humiliss.ma serva et zia
Ala m.ta dela Reg.a di Spagna							Maria Magdalena</t>
  </si>
  <si>
    <t>ASF, Carte Strozziane, Terza Serie, Fol 192, Ins 1.</t>
  </si>
  <si>
    <t>121r</t>
  </si>
  <si>
    <t>A letter from MM to her niece, the queen of Spain, recommending Alessandro Strozzi. Exact same letter as the other Strozzi record.</t>
  </si>
  <si>
    <t>91r</t>
  </si>
  <si>
    <t>Pistoia</t>
  </si>
  <si>
    <t>Livorno</t>
  </si>
  <si>
    <t>Fivizzano</t>
  </si>
  <si>
    <t>Lunigiano</t>
  </si>
  <si>
    <t>Parma</t>
  </si>
  <si>
    <t>Unnamed</t>
  </si>
  <si>
    <t>105r</t>
  </si>
  <si>
    <t>Unknown</t>
  </si>
  <si>
    <t>1r</t>
  </si>
  <si>
    <t>ASF, Mediceo del Principato 4158a, Ins 5.</t>
  </si>
  <si>
    <t xml:space="preserve">The Viceroy of Naples [writing to MM] requests the galleys from His Serene Highness, which will join the two against the ships of Bizerta and ___. </t>
  </si>
  <si>
    <t>Napoli</t>
  </si>
  <si>
    <t>Ano__e escrivi a VA con un correo espreso la carta __ya copia va con esta y agora despacho este a la misma d__g___ con el amsso que a cano de tener del Marg__ Com_rota governador dela Provincia de Calabria citra de que el dia antes haman desembarcado trez Galesas de Biscita y Argel en la morrina de Rosano en la playa de Calo pezati y Crosia sin que se sepa hasta agora que ayar hecho dan~o, y desseando yo que los cosamos los passos Supp.lo a VA con mucho encar____ se serva de embias luego por diferentes Vias a buscar las suyas y malas conbie aqui con la mayor br_vedad que fuere pusible que demas de que su Mag.e lo estimara mucho sera para mi grandi _____ y a este fin despacho tambien por mas y embio la orden que tengo aca del sr gran Duque para el general de sus Galeras para que casso que le en con frase por la mas se la de y in s__ execucion Venga aqui quanto mas presto pudiere, y guarde Dios la ser.ma persona de V.A. como desseo: de Nap~ a 11 de _imio 1624</t>
  </si>
  <si>
    <t>Last night I wrote to Your Excellency with an express courier, the letter (a copy of which is enclosed), and now I am sending this one to the same destination with the news I have just received from the Marquis Comarota, governor of the Province of Calabria Citra, that the day before, three galleys from Biscay and Algiers had landed in the bay of Rossano, on the beaches of Calo Pezzati and Crosia, without it being known so far what damage they may have caused.  And wishing to intercept them, I earnestly beg Your Excellency to be so kind as to immediately send out search parties by different routes to find them and send them here with the greatest possible speed, for besides the fact that His Majesty will greatly appreciate it, it will be of great benefit to me. To this end, I am also sending this by another route and enclosing the order I have here from the Grand Duke for the general of his galleys, so that if he encounters them at sea, he may give it to them and put it into execution, and come here as quickly as possible. May God protect Your Excellency's most serene person as I desire. From Naples, the 11th of June 1624.</t>
  </si>
  <si>
    <t>1624/06/21</t>
  </si>
  <si>
    <t>3-4</t>
  </si>
  <si>
    <t>7-8</t>
  </si>
  <si>
    <t>1624/06/20</t>
  </si>
  <si>
    <t>Despues de lo que esferezce a VA a 27 del pasado en orden al emples destas Galesas. Juntam[en]te con la dela / orden des__ estevan resolu___ que fue en a Palermo por havermelas pedido el Principe feliberto pero agora hetenido aviso que a los 11 deste se Vieron Junto a hapana Tr__e galesas de Biserta y Argel y que havia salido en busca dellas con diez y siete Galesas el Marque [del?] s.ta Cruz por las Costas de Calabria dent__ el fazo con orden que diesen la buelta por lipar y considerando y quelo cossarios habran tomado la buelta de Poniente metia parecido que esras galeras Vryan a quel camino en su busca reconociendo estas Islas. de ____for me y porque tambien sea consideraado que podrian yr los cossa vios en busca delas __enco Galeras dela esquadra de Genova que se Gallan en espan~a Geordenado a Don Diego Pimen tel que se llegue a ella lo que pareziere combeniente segun los avissos que tu viere y desseando yo que hagan este Viase con las de s.t estevan supp[li]co a VA y a lo__ Gran Duque, que si se hallaren en Liorna las de nueva / orden para que vayan con el, que yo me guelgo mucho de savor que Don Diego sea tan amigo del Gnal sela de VA para que con tanta mas conformidad procuren ha_er alguna buena faccion y assi torno a suplicar a VA que quando no se ha llaren en liorna las embie abuscar con nueva / orden que se Junten con estas / otras prosupuesto questas partiran de aqui a 23 / o / a 24 deste la buelta dela alba y la mrd. que en esto me hiziere VA aunque correra por quinta del Rey mio _ dela mia la reconocere por muy particular y q__ Dios la ser.ma pers.a de VA como desseo de Nap. 20 de Junio 1624</t>
  </si>
  <si>
    <t>After what happened to Your Excellency on the 27th of last month regarding the employment of these galleys, together with those of the order of St. Stephen, it was resolved that they should go to Palermo, as Prince Philibert had requested them. But now I have received word that on the 11th of this month, three galleys from Bizerta and Algiers were sighted near Havana, and that the Marquis of Santa Cruz had set out in search of them with seventeen galleys along the coasts of Calabria, with orders to return via Lipari. Considering that the corsairs will have taken the westward route, it seemed to me that these galleys should take that route in search of them, reconnoitering these islands. And because it has also been considered that the corsairs might be going in search of the five galleys of the Genoese squadron that are in Spain, I have ordered Don Diego Pimentel to join them as he deems convenient, according to the information he receives. And wishing that they make this voyage with those of St. Stephen, I beg Your Excellency and the Grand Duke that if those of the new order are found in Livorno, they should go with him, as I am very pleased to know that Don Diego is such a good friend of Your Excellency's General, so that with even greater harmony they may attempt some good action. And so I again beg Your Excellency that if they are not found in Livorno, you send for them with a new order to join these others, assuming that these will depart from here on the 23rd or 24th of this month at dawn. The favor that Your Excellency does me in this, although it will be at the expense of my King and myself, I will consider it a very special one, and may God preserve Your Excellency's person as I desire. Naples, June 20, 1624</t>
  </si>
  <si>
    <t>Copy of a letter from the Duke of Alba to MM from Naples 20 June 1624; There are 3 copies of this exact letter back-to-back-to-back, but I only transcribed the one on pages 7-8.</t>
  </si>
  <si>
    <t>a new letter from the Duke of Alba to MM 2 July 1624</t>
  </si>
  <si>
    <t>la carta de VA de 25 de Junio vecini con el correo que despache a VA aryas manos besso por haver embrado luego en busca de sus Galeras porra que viniesen aqui al punto yo las quedo esperando con barto desseo de que llegueren porra que antes que serecojan los cossorios p__edan salir en su busca con las de aqui esperando que podrian gozon(?) de alguna buona ocassion y tendre andado de que buelban tan a tiempo como dessea VA aquin que Dios muchos anos como desseo de Nap. a 2 de Julio 1624</t>
  </si>
  <si>
    <t>The letter from Your Excellency of June 25th arrived with the mail I dispatched to Your Excellency. I kiss your hands for having immediately sent for your galleys so that they might come here at once. I am waiting for them with great eagerness for their arrival so that before the corsairs gather, they can set out in pursuit with those from here, hoping that they might seize some good opportunity, and I will ensure that they return as promptly as Your Excellency desires. May God grant you many years, as I wish. From Naples, July 2nd, 1624.</t>
  </si>
  <si>
    <t>11</t>
  </si>
  <si>
    <t>1624/07/11</t>
  </si>
  <si>
    <t>12</t>
  </si>
  <si>
    <t>1624/07/09</t>
  </si>
  <si>
    <t>a new letter from the Duke of Alba to MM 9 July 1624, this time to the GD Ferdinando not his mom</t>
  </si>
  <si>
    <t>Recibi la carta de V. Ser.d de 30 del pasado y poso despues llegeron aqui antes de ayer tarde las Galeras de la Religion de S.t Estevan, y V Ser.d mi ha hecho mucha m.rd en embiarme las y se partiran por la man~ana con otras ocho refordads de esta esquadra en busca de los Cosarios de Berberia los qualles he entendido que se hallaban en la Pre_sa a ___ deste, y si los encontrasen en las n[osot]ras podriamos ochar de muy buena suerte y procurare que retornen las de V. Ser.d a tiempo de lleva a Mecina los parios de esos mercantes. Dios q___ la Ser.ma persona de V. Ser.d como deseo. En Nap. 9 Julio 1624</t>
  </si>
  <si>
    <t>I received your letter of the 30th of last month, and shortly afterward, the galleys of the Order of St. Stephen arrived here the day before yesterday afternoon. Your Excellency has done me a great favor in sending them, and they will depart tomorrow morning with eight other reinforced galleys from this squadron in search of the Barbary corsairs, whom I understand were in the port of [blank] on the [blank] of this month. If they encounter them, we could have very good fortune, and I will endeavor to have Your Excellency's galleys return in time to take the goods of those merchants to Messina. May God preserve Your Excellency's most serene person as I desire. Naples, July 9, 1624</t>
  </si>
  <si>
    <t>copy of a letter from the Duke of Alba to MM 21 June 1624</t>
  </si>
  <si>
    <t>A noche eservi a VA con un correo espresso la carta cuya copia va con esta y agora despacho este a la misma diligea cia con el avisso que acavo de tener del Marques de Camarota Gover.or dela Provincia de Calabria citra de que el dia antes havian desembarcado Frece (Trece?) Galeras de Biserta y Argel en la marina de Rossano en la playa e Calopezati y Crosia sin que se sepa hasta agora que ayan hecho dano, y desseas, do y queles co Janeos (cosaneos?) los passos. supp.lo a VA con mucho encarvimiento se sirva de embias luego por diferentes vias a buscar las suyas y me las embie aqui con la mayor brevedad que fuere posible, que demas de que su Mag.d lo stimara mucho. sera para mi gran dissima mid. y a este fin despacho tambien por mar y embio la / orden que tengo va del s.r Gran Duque pa___ el General de sus Gaaleras para que en casso quele en con_ase por la mar selade y en su execucion venga aqui quanto mas presto pudiere y Guarde Dios la ser.ma persona de VA como desseo de Napoles a 21 de Junio 1624</t>
  </si>
  <si>
    <t>Last night I sent Your Excellency by express mail the letter of which a copy is enclosed, and now I am dispatching this one by the same means with the news I have just received from the Marquis of Camarota, Governor of the Province of Calabria Citra, that the day before, thirteen galleys from Bizerta and Algiers had landed on the coast of Rossano, on the beaches of Calopezati and Crosia, without it being known so far that they have caused any damage, and wishing to intercept their movements. I earnestly beg Your Excellency to be so kind as to immediately send by different routes to find your galleys and send them to me here with the greatest possible speed, which, besides being greatly appreciated by His Majesty, will be of great service to me. To this end, I am also sending by sea the order I have from the Grand Duke to the General of his galleys so that, should he encounter them at sea, he may engage them and, in execution of this order, come here as quickly as possible. May God protect Your Excellency's most serene person, as I desire. Naples, June 21, 1624</t>
  </si>
  <si>
    <t>13-14</t>
  </si>
  <si>
    <t>17-18</t>
  </si>
  <si>
    <t>Loxemburg</t>
  </si>
  <si>
    <t>Ruler: Arciduchessa d'Austria e Gran Duchessa di Toscana</t>
  </si>
  <si>
    <t>d'Elci, Orso</t>
  </si>
  <si>
    <t>Ambassador: Conte e Ambassadore</t>
  </si>
  <si>
    <t>della Rena, Horatzio</t>
  </si>
  <si>
    <t>Beaurocrat: Seg.o dem.to</t>
  </si>
  <si>
    <t>de' Medici, Carlo</t>
  </si>
  <si>
    <t>de' Medici, Caterina</t>
  </si>
  <si>
    <t>Ruler: Duchessa di Mantova</t>
  </si>
  <si>
    <t>von Habsburg, Leopold</t>
  </si>
  <si>
    <t>Ruler: Arciduca d'Austria</t>
  </si>
  <si>
    <t>de' Medici, Claudia</t>
  </si>
  <si>
    <t>Ruler: Duchessa d'Urbino e Arciduchessa d'Austria</t>
  </si>
  <si>
    <t>di Borbone, Elisabetta</t>
  </si>
  <si>
    <t>Ruler: Regina di Spagna</t>
  </si>
  <si>
    <t>Ruler: Duca d'Alba e Vice Re di Napoli</t>
  </si>
  <si>
    <t>Clergy: Cardinal</t>
  </si>
  <si>
    <t>de' Medici, Maria Cristiana</t>
  </si>
  <si>
    <t>Noble: Principessa di Toscana</t>
  </si>
  <si>
    <t>de' Medici, Lorenzo</t>
  </si>
  <si>
    <t>Noble: Principe di Toscana</t>
  </si>
  <si>
    <t>de' Medici, Ferdinando II</t>
  </si>
  <si>
    <t>Ruler: Gran Duca di Toscana</t>
  </si>
  <si>
    <t>Topic</t>
  </si>
  <si>
    <t>Recommendation</t>
  </si>
  <si>
    <t>Childbirth</t>
  </si>
  <si>
    <t>Death</t>
  </si>
  <si>
    <t>Intelligence</t>
  </si>
  <si>
    <t>Date*</t>
  </si>
  <si>
    <t>1r-1v</t>
  </si>
  <si>
    <t>Rome</t>
  </si>
  <si>
    <t>Papal Brevi</t>
  </si>
  <si>
    <t>3r-3v</t>
  </si>
  <si>
    <t>4r</t>
  </si>
  <si>
    <t>9</t>
  </si>
  <si>
    <t>Illegible</t>
  </si>
  <si>
    <t>10-11</t>
  </si>
  <si>
    <t>6r</t>
  </si>
  <si>
    <t>7</t>
  </si>
  <si>
    <t>10r</t>
  </si>
  <si>
    <t>1622/09/09</t>
  </si>
  <si>
    <t>12r</t>
  </si>
  <si>
    <t>13</t>
  </si>
  <si>
    <t xml:space="preserve">Barracelli </t>
  </si>
  <si>
    <t>17</t>
  </si>
  <si>
    <t>14r</t>
  </si>
  <si>
    <t>15</t>
  </si>
  <si>
    <t>18r</t>
  </si>
  <si>
    <t>18</t>
  </si>
  <si>
    <t>1623/01/30</t>
  </si>
  <si>
    <t>20r</t>
  </si>
  <si>
    <t>19</t>
  </si>
  <si>
    <t>22r</t>
  </si>
  <si>
    <t>21</t>
  </si>
  <si>
    <t>24r</t>
  </si>
  <si>
    <t>23</t>
  </si>
  <si>
    <t>Villa Poggio Imperiale</t>
  </si>
  <si>
    <t>26r</t>
  </si>
  <si>
    <t>25</t>
  </si>
  <si>
    <t>28r</t>
  </si>
  <si>
    <t>27</t>
  </si>
  <si>
    <t>30r</t>
  </si>
  <si>
    <t>29</t>
  </si>
  <si>
    <t>1628/06/12</t>
  </si>
  <si>
    <t>31</t>
  </si>
  <si>
    <t>32r</t>
  </si>
  <si>
    <t>33</t>
  </si>
  <si>
    <t>Vienna</t>
  </si>
  <si>
    <t>35</t>
  </si>
  <si>
    <t>37</t>
  </si>
  <si>
    <t>Varsavia</t>
  </si>
  <si>
    <t>39</t>
  </si>
  <si>
    <t>Possa</t>
  </si>
  <si>
    <t>79r</t>
  </si>
  <si>
    <t>Death of Maria Maddalena</t>
  </si>
  <si>
    <t>102</t>
  </si>
  <si>
    <t>7r-7v</t>
  </si>
  <si>
    <t>La Crocetta</t>
  </si>
  <si>
    <t>9r</t>
  </si>
  <si>
    <t>Clergy: Pope</t>
  </si>
  <si>
    <t>15r-15v</t>
  </si>
  <si>
    <t>Firenze/Fiorenza</t>
  </si>
  <si>
    <t>16r-16v</t>
  </si>
  <si>
    <t>22-23</t>
  </si>
  <si>
    <t>23r</t>
  </si>
  <si>
    <t>26</t>
  </si>
  <si>
    <t>Arrezo</t>
  </si>
  <si>
    <t>25r</t>
  </si>
  <si>
    <t>29r-29v</t>
  </si>
  <si>
    <t>Pesaro</t>
  </si>
  <si>
    <t>31r-31v</t>
  </si>
  <si>
    <t>33-34</t>
  </si>
  <si>
    <t>37r</t>
  </si>
  <si>
    <t>40</t>
  </si>
  <si>
    <t>47r-47v</t>
  </si>
  <si>
    <t>52-53</t>
  </si>
  <si>
    <t>53r</t>
  </si>
  <si>
    <t>58</t>
  </si>
  <si>
    <t>57r</t>
  </si>
  <si>
    <t>61</t>
  </si>
  <si>
    <t>59r</t>
  </si>
  <si>
    <t>62</t>
  </si>
  <si>
    <t>61r</t>
  </si>
  <si>
    <t>63</t>
  </si>
  <si>
    <t>63r</t>
  </si>
  <si>
    <t>64</t>
  </si>
  <si>
    <t>65</t>
  </si>
  <si>
    <t>67</t>
  </si>
  <si>
    <t>68</t>
  </si>
  <si>
    <t>70</t>
  </si>
  <si>
    <t>Monasterio alla Croce</t>
  </si>
  <si>
    <t>72</t>
  </si>
  <si>
    <t>78</t>
  </si>
  <si>
    <t>79</t>
  </si>
  <si>
    <t>76-77</t>
  </si>
  <si>
    <t>80</t>
  </si>
  <si>
    <t>98r</t>
  </si>
  <si>
    <t>96-97</t>
  </si>
  <si>
    <t>Palazzo Pitti</t>
  </si>
  <si>
    <t>100-101</t>
  </si>
  <si>
    <t>108r-108v</t>
  </si>
  <si>
    <t>104</t>
  </si>
  <si>
    <t>Nel ritorno di Battaglino haviamo intiso il gran caldo che V.S. ha havuto, il che ce ne e' dispiaciuto quanto ella puo immaginarsi, poiche haviamo particolar desiderio che ella si conservi cosi buona salute; Hora che ella e' a__icata costi havra' campo di riposarsi et di ristorarsi
Mando a V.S. una lettera del Cardinale dal Monte, et veduta che l'havra ci potra' mandare a' dire quelche le doviamo risponde re. Attenda ad havessi cura, et el __ la guard
di firenze li 5 di luglio 1623</t>
  </si>
  <si>
    <t>5</t>
  </si>
  <si>
    <t>1623/07/05</t>
  </si>
  <si>
    <t>1623/12/15</t>
  </si>
  <si>
    <t>3r</t>
  </si>
  <si>
    <t>6</t>
  </si>
  <si>
    <t>1623/00/19</t>
  </si>
  <si>
    <t>sig.re Conto io me son trovato in un gran in___ con la sua lettera perche me fu resa in preso_bia di Madama [CL] et ella volse subito sapere quel esto lei _n_ scrivesse si bene io disso che non tiratasse de altro che delle cosse della Mirandola(?) et di Valditato(?) in ogni modo lei ha __suto leg_re da se non me dava mia altra p__role si non dove lei dico per amor dol p. __Don lorenzo che io et lei mostriamo far ogni cosa __sunti__ per amor di Madama perso si lei mi vuolo scrivere della cose che lei man vuole che Madama vegga me mandi da ogni ma___ che lettere per il Conte Raimisi(?) sico figlio et io mi ricoman di nelle suo orationi in quelle santi luogi et tem_i</t>
  </si>
  <si>
    <t>sig[nore] conto la sua lettera di x di questo mese mi fu reso in man__ propria del conte scipione suo figlio et me pare che V.S. faccia molto bene far venire scipione costi mentre sia anche lei perche la potra introdurre da se dove lei piacciara li mando anche con questa la lettera per il papa non so si sara a suo modo li me mando ad la lira aperta d__da la possa leggere et poi sigillare et havero caro che sia a suogusto et perche il lonte scipione medesimo sara ___ fatore di questa non voglio esser piu longa perche lui potera dare raguaglio a VS di ogni cosa come stiamo si non che speto _ con gran desiderio la sua tornata che spero habbia da esser presto perche non so si il pr[incipe?] Don lorenzo voglia piu andare _no come VS __ten___ di madama et Dio lo conservi di fiornza il di 19 di [looks like 9bre?] 1623</t>
  </si>
  <si>
    <t>Signore con te io non so intendere perché VS non mi rispondi alla mia lettera che io ho scritto per il conto Scipione suo figlio credo che lei ci sia dismendicata da me o che la lettera che io habia scritto all paga non Lo abbia gustato lo poteva per accasare al mando la ricevuta tanto più che io so che ha scritta a altri accusando il arivo del conte scipione noi del resto stiamo tutti bene somo spero anche da lei et di suoi et si ricordi all manco da me nelle sue orazione et dio lo conservi</t>
  </si>
  <si>
    <t>Ill. Sig. Conte n[ost]ro diletti[ssi]mo
Nel proponto del sig. Principe D. Lorenzo come ben dice VS in quanto ne scrive ultimam[en]te al Cardi[nale?] Cioli siamo gia tanto innanzi per ql che se n'e parlato et qui el [V or D?] Carlo Magal_tti et altri con M__d. suo frello [fratello] che non pare che su p___ far di meno di non mandarlo a renderli obbedienza per il Gran Duca et cosi egli come Noi ne stiamo de liberatam[en]te resoluti doppo essersi hoggi consultato q__ negotio su la lettera delle lre~ [del or Il?] s. Card[ina]le et di VS; Ma ben Vonemmo se possibil[e] fosse guadagnarei li l__rranta d[e]lla sala Regia poi che nel resto pe____ ___ la detto Mrs___ Magal_tti al _uada____ et egli refort_lo al ___ Card[ina]le n[ost]ro ci par d'esser sicuro d[e]l trattamento eguale a quello d[e]l Principe ___aso di Savora [Savoia?] et d[e]l Titolo di Alt.a et in questa pretensione ci siamo formati di ___rt_ anche doppo haver [sentito?] il de ____ di VS et nell'una et nell'altra parte che ne esso v__ebbe senta q.t assicura____ nel noi lo mandera___ altrimenti non dubitando [che or de?] o presto o ___di non habbiano p______  ______ di fare gli altri Principe quel ___ havera' fatto il Papa essendo il suo essempio il piu autentico et gia il __ Buca di Parma et altri Principi di Germania nassenamente danno delli Alt[ezz]_ al__ Principe D. Lorenzo et con gli Amb[assado]ri altri npn doveranno manchare de temperamento Pero' negghino pure il _ Card[ina]le et VS di an_____arse bene de que sa punto in que megliare et piu _____ niente</t>
  </si>
  <si>
    <t>11-12</t>
  </si>
  <si>
    <t>1623/01/03</t>
  </si>
  <si>
    <t>Il nostro Marchese Inghierami generale delle Galere non e' mai guarito del suo male anzi ha sempre dato all'indietro, et questa mattina haviamo havuto la mala nuova, che egli sia per caamminar poco innanzi, poiche li hanno gia dato l'olio santo. Nediamo conto a VS perche in caso che il sig. Cardinale mio Cognato (so this is Cardinal Carlo de' Medici) ne parlasse con esso lei, et __ esso entrassi in voler raccomandarci persona per conto del Marchesato, li possa rispondere, che il Granduca mio S.re et marito (this is Cosimo II, who is not alive at the time of this 1623 letter) essere questo Marchesato piu presto per honorar questo buono et bonemereto Cavaliere, che per altro conto, et sua vita durante et non altrimenti, si che venendo a' morte conforme alla volonta' di quell'Altezza verra' ad estinguersi, et ad annullarsi poiche se si havesse da permutare in altre persone, non comple al servizio del Granduca, ne de Vassalli; Pero' VS sapra' hora come si havra' da governare col s.r Card.le et il s.r __ola (Cioli?) conservi et contenti di fir.e li 3 di gennaio 1623 Il Prioratosi bene tra passa nel fratello et nipoti et linea masculina</t>
  </si>
  <si>
    <t>Per questo che habbiamo poteto far noi, non mancammo di commettere che l'ordinario che era spedito a' Lione, fusse licenziato prestamente, poiche cosi haveva fatto instanza l'Ambasc.re doppo havergli dato il Dispaccio, lo trattenesse in Roma almeno quattro giorni, perche le lettere che il detto Ordinario ci porto', furono de 23 et egli arrivo' in firenze alli 29.
Quanto alla Cecchina, poiche il Sig. Cardinale disidera che ella si fermi costa' per tutto questo Carnevale, noi contentiamo ch'ella lo serva. Et non havendo Noi che dir'altro in risposta dell'ultime lettere di VS ci bastera' ch'ella sappia che questa sera ce ne siamo tornati a' fiorenza, caccioati dal Poggio delle acque che sopraggiunsero, le quali havevano allagato tutti quei friani(?). Et Dio la conservi. Di fiorenza li 30 Genn. 1623 al Inc.ne</t>
  </si>
  <si>
    <t>Vorremmo hormai(?) sentire, che il Papa fosse rimasto interamente netto di febbre [the Pope has a fever], et perfettamente risanato, et piaccia a Dio, de VS ci possa dar questa nuova con le p__, Il Conte Scipione d___a venire sempre che da lei sara' chiamato, cio' e' alla rinfrescata(?); Ma VS per il suo ritorno debbe haver disegnato di aspettare il Natale, perche tratta di arrivare in Maremma non potendo Noi credere, ch'ella pensi di potera an__ dare in tempi pero __l_si, come sono il Sett[emb]re, le Ott[ob]re; et bisogna l_ra considerare, se con buona conscienza ella possa star tanto lontana di qua'; S_gn_rno', de non vogliamo darle q.le centa troppo bisogno habbiamo della sua conservatione, et delle sua asci_tenza et il med[esimo] dicono Madama, et il Gran Duca. S_nt_ra VS gli de noi __ra diciamo nella lra di Madama in proposito della Amb.s da mandarsi, et ne staremo aspettando la sua risposta, et il suo parere. Quanto alla gente del ____ Card.le, an__mo considerando ql ch'ella scrive cio' e se d_ qua se ne debba mandar d_ll'altra; et intanto __ piace che ch_ ci, e', __a bene, et non so para male; et Il s. Iddio la conserv_ et prosperi. Da firenza 2__? Ag.o 1623</t>
  </si>
  <si>
    <r>
      <t>13r-1</t>
    </r>
    <r>
      <rPr>
        <i/>
        <sz val="11"/>
        <color theme="1"/>
        <rFont val="Aptos"/>
        <family val="2"/>
      </rPr>
      <t>3v</t>
    </r>
  </si>
  <si>
    <t>1623/08/21</t>
  </si>
  <si>
    <t>1623/11/07</t>
  </si>
  <si>
    <t>ho recevuta la lettera di VS Ill.mo dell 14, et ho inteso con grandissimo mio contento il pensiero, che lei ha di questa casa, et quanto al esclusione del amico, ci pare a noi, che VS Ill.ma discorra' bene, ma perche noi non possiamo sapere, si occorrera, o, non, perche noi non possiamo sapere, si correra la lancia, o, no, VS Ill.ma potra discorrere di sopra col conte orso et col Car[dina]le di Monte, si parera a VS Ill.ma, et il conte, tal quale habiamo discorse qui, et loro, che son sul luogo, potrano sapere meglio quello, che ci comple per servivio di questa casa; basta far mi modo che non possino esser mai offesa di non per non potersi ricordare una volta, si li reuscisse il colpo; basta VS Ill.ma prudente, et si sapera' bene gubernare in qu__ta, et ogni altro cosa quanto al Car[dina]le ludovisia spediamo questa mattina apposta al Cont'Orso, che li faccia la offerta di tutto il nostro potera contro i Colonessi, et VS Ill.ma potra fare il medessimo quando sara a Roma, et con tutto l'affetto di cuore li baccio le mani. fiorenza 16 guglio 1623</t>
  </si>
  <si>
    <t>20</t>
  </si>
  <si>
    <t>1623/07/16</t>
  </si>
  <si>
    <t>17r</t>
  </si>
  <si>
    <t>22</t>
  </si>
  <si>
    <t>1623/07/13</t>
  </si>
  <si>
    <t>Potrebbe avvenire, che __rricinandosi il s.r Cardinal nostro i Roma, ambedue gli Amb.ri di Francia et di Spagna volessero uscire ad incontrarlo, come volleso fare l'alrtra volta, et furono divertia per non sapersi da qual porta il s.r Card.le dovesse entrare. Hora venendo egli per la via di Perugia, nd si puo haver la ____ med[esi]ma et considerando Madama et io il disordine che ne nascerebbe, ci e' parso di darlo sapere i VS accio ella s'ingegni di ___arlo nel modo ___ parrsi alla sua prudenza, et in ogni caso spedisca un co.to incontro al s.r Card.le per avvisarlo di tutto, et Dio la conservi. Da fiorenza 14 Luglio 1623.Potrebbe avvenire, che __rricinandosi il s.r Cardinal nostro i Roma, ambedue gli Amb.ri di Francia et di Spagna volessero uscire ad incontrarlo, come volleso fare l'alrtra volta, et furono divertia per non sapersi da qual porta il s.r Card.le dovesse entrare. Hora venendo egli per la via di Perugia, nd si puo haver la ____ med[esi]ma et considerando Madama et io il disordine che ne nascerebbe, ci e' parso di darlo sapere i VS accio ella s'ingegni di ___arlo nel modo ___ parrsi alla sua prudenza, et in ogni caso spedisca un co.to incontro al s.r Card.le per avvisarlo di tutto, et Dio la conservi. Da fiorenza 14 Luglio 1623.</t>
  </si>
  <si>
    <t>Nel negozio di Carlo Piccolomini per le considerazioni, che VS ci ha' accennato, si e' dato ordine, che il Contini sene venga quanto prima a' questa volta, et cosi Noi med.a potrimo piu' facilm[ente], et piu' chiaramente intendere, rimediare, et risolvere quelche convenga per quiete di tutte le parti. Et intorno all'altra breve lettera di VS de' 3 non habbiamo che replicare, rimettendoci a' quanto le scrive Madama, et il Picchena questa sera; et salutandola a' nome del Gran Duca, le desideriamo continue prosperita'. Di fio.za 7 9mre (I think september..?) 1623</t>
  </si>
  <si>
    <t>19r</t>
  </si>
  <si>
    <t>24</t>
  </si>
  <si>
    <t>21r</t>
  </si>
  <si>
    <t>Sul'attestazione, che ci fa' VS delle fatiche, et della buona servitu', che rende al s.r Cardinale nostro il suo M.ro di Stalla, ci siamo contentate di fargli la grazia, che ha desiderato, et la mandiamo pero con questa nelle mani di lei, accio' gliela consegni, o', gliela faccia havere; Nel resto le due lettere di VS di 26 et de 30 Xm.re (October?) non hanno bisogno di replica, poi cche quanto alle visite di __testi Amb.ri di Corone, et al Ricevimento da farsi costi al s.r Prpe [Principe] D. Lorenzo, ci rimetteremo a' quanto risolvere Voi altri ___, eta qualche le ne scrivera' il Picchena; et il sig.re Iddio la prosperi sempre. Noi volevamo questa mattina andare al Poggio a' quelle Caccie, __a' il tempo, che ancora non vuol fare pace, ci ha' impedito, ma' domani forse ce lo permettera'. Di fiorenza 3 Gennaio 1623___</t>
  </si>
  <si>
    <t>28</t>
  </si>
  <si>
    <t>1623/08/14</t>
  </si>
  <si>
    <t xml:space="preserve">Ho inteso volenteredalla ha di VS degli ____, ch'ella sia ______ sodisfatta de ql neg[ozi]o ____no a ch_ mi rimetto in tutto, e per tutto. Ci siamo rallegrate dela nuove n__gl__ della salute d[e]l Papa, et il s.r Iddio ce le conservi. Desideramo il suo ______, ma alla ri__f___scata, premendoci troppo la sua salute. Quanto alla cose di Urbano/Urbino VS vedra' ql, che le scrive di nostro ord. il Card[inale] Cioli: Non le scriveramo de nostra mano, per che essendola Vigilia della Madama sant.__ vogliamo attendere alle devozioni, et un q___ punto ce ne andiamo al Vespero, et di buon cure la salutiamo; et Il s.r Iddio la contenti: Di fiorenzia 14 Ag. 1623 In cambio d'un nepoteno, credo, che VA ne trovera' al suo ritorno in Casa d__ essendo gravida, et la Nuova(?) et la fog.__ D__ a ci d_g__a avviso di  [encoded message] </t>
  </si>
  <si>
    <t>30-31</t>
  </si>
  <si>
    <t>25r-25v</t>
  </si>
  <si>
    <t>1623/07/23</t>
  </si>
  <si>
    <t>27r-27v</t>
  </si>
  <si>
    <t>1623/00/27</t>
  </si>
  <si>
    <t>36-37</t>
  </si>
  <si>
    <t>1623/08/08</t>
  </si>
  <si>
    <t>1623/12/28</t>
  </si>
  <si>
    <t>Dalla lettera di VS de 22 habbiamo sentito con molto gusto quanto ella haveva passato nell'Audienza con S. S.ta' et le amorevoli et cordiali parole che da lei le furono usate per confermar maggiormente quello che la S.ta S haveva gia' stabilito nel suo animo, di volere star sempre unita con questa Casa, et tener congiunti gli interessi suoi con quelli del Gran Duca. Et se bene Noi n'eravamo sicurissimi, havemdolo S. S.ta detto piu' volte, et cominciato a mostrarne anche gli effetti, non dimeno ci e' stata gratiss[im]a questa nuova asseverazione, et ne facciamo quel capitale, che richiedono parole di tanto peso, et d'un Papa che in ogni tempo e' stato tenuto per sincero et veridico. Pero' quando VS haura' occ[asio]ne di rivedere la S.ta S. vogliamo che ella glie ne renda efficacissime et affettuosiss[im]e grazie per parte di tutti Noi, et l'assicuri che dalla banda del Gran Duca le sara' corrisposto sempre con una ferma et stabile volonta', come S. B.ne et quelli del suo sangue lo conosceranno giornalmente dalle opere stesse. Et il Sig. Iddio la prosperi.
Di fiorenza li 28 di Xbre (December) 1623</t>
  </si>
  <si>
    <t>33r</t>
  </si>
  <si>
    <t>41</t>
  </si>
  <si>
    <t>1623/01/10</t>
  </si>
  <si>
    <t>Molto prudente, et molto accorto et stato il negoziato di VS con cotesti Amb.ri Regii, Ci resta hora, che Saglleri(??) stia sodo, che ci parra' gran Cosa, se ella non trova modo da legarlo stretto, ma' la destrezza di VS superera' ogni altra difficulta'. Del negozio di Urbino ci rimettiamo a' quanto scrive il Picchena, et l'Antella. et loro altri SS.ri si portano costi molto bene; et per che le due lettere sue de 6 non hanno bisogno d'altra replica, Prego Iddio, che illumini et il S.r Cardinale nostro, et VS per trovar modo di uscire di questi pensieri, et liberarne anche il d.r Duca di Urbino; et la saluto insieme col Gran Duca. Del Poggio X Gennaio (10th January) 1623 
(Remember their new year was not in January but in March, so the year doesn't change just yet)</t>
  </si>
  <si>
    <t>La lettera di VS degli 8 ci accenna quelche si possa sperare nel negozio di Urbino, del quale confidiamo particolarmente buono indirizzo con la prudenza di lei, A chi se bene questa mattina habbiamo inviata la lettiga per condurla qua'; Vogliamo non di meno, che vedendo ella, che vi sia ancora bisogno costi della persona sua per il sud.o negotio, si fermi pure finche le parra' a' proposito, Perche la lettiga tanto consuma costa', quanto qua' et noi ci importa il trattenerla poco, o', assai; Habbiamo bene sentito con gran contento nostro, quelche VS ha' trattato col s.r Cardinale Barberino, et con Mons[igno]re Magalotti per gli interessi, et bisogni di Alemagna, et hauremo caro, che ella ne rinuovi tutti quegli offizii, che conoscera' opportuni per tanto buon'opera; et il S.re Iddio inspiri a' lei, et acotesti S.S.ri quelche sia meglio per queste Turbulenze, et le conceda buon viaggio, et ogni altra prosperita'. Di fiorenza 12 Xbre 1623</t>
  </si>
  <si>
    <t>43</t>
  </si>
  <si>
    <t>1623/12/12</t>
  </si>
  <si>
    <t>1623/07/29</t>
  </si>
  <si>
    <t>45</t>
  </si>
  <si>
    <t>Passa un Corr.ro di Francia, et habbiamo voluto rispondere alla lettera di VS di 22 essendoci stati gratissimi quei particolariscritti a' Madama Ser.ma, et anche habbiamo sentito volentieri, che il governo dela Casa del sig.re Cardinale nostro vada bene. Ma ci maravigliamo infinitam[en]te, che in questi gran caldi camminino con tanta freddezza le cose del Conclave, et bisognera' pero' riscaldare quei SS.ri Cardinali. Noi ci godiamo questa buona bagnatura d'Arno, et il Gran Duca ancora, Il quale saluta VS, et sta' aspettando qualche nuova di costa', et Il s.re Iddio la conservi, et prosperi. Di fiorenza 29 Lug.o 1623</t>
  </si>
  <si>
    <t>39r-40r</t>
  </si>
  <si>
    <t>47-49</t>
  </si>
  <si>
    <t>I termini che Mons. Santorio uso' col s.re Duca d'Urbino, dovettono esser tali, che quel buon Vecchio hebbe grandissima cagione di scandalezzarsi, et d'entrare in sospetto che contro di lui si volesse procedere con modi violenti, poiche venne fino a' chiedergli che mettesse nelle fortezze huomini confidenti del Papa, o' gli desse i contrassegni. Oltra di questo si sa' che intorno a' S. Leo sono stati fatti diversi aggiramenti che in Pesaro sono stati mandati de capitani sotto finito pretesto d'esser disgustati delle ecclesiastici che in un convento di S. Francesco vicino a una Porta di quella Citta' habbino andato alcuni frati da fazzione, et habili a' potersi impodronire della detta Porta. Et si sa' ancora che per tutte le Terre delle Chiese da quelle bande, non si sente et non si vede altro che arme, et che Mons. Verospi in Perugia non attende ad altro che a' riveder la fortezza et le munizioni, et ad assoldar capitani et soldati come se l'Italia fusse in un manifesto pericolo di guerra. Onde non e' maraviglia che il sig. Duca d'Urbino, potendo con molta ragione sospettare che tutti questi apparecchi si faccino contro di lui, habbia un forzato i suoi presidii, et fatto delle altre cose, per assicurarsi da qualche stravagante insulto che gli potesse venire addosso; vedendo che non habbia giovato punto tutto quello che egli s'e' ingegnato di fare, et con lettere, et con ogni altra sorte di dimostrazione, per sincerare il Papa, et per esser lasciato vivere in pace; et pure ha dato hormai tanti segni di pasienza, et d'animo quieto, che forse son parsi troppi. Merita a dunque il sig.re Duca che ogn'uno lo scusi appresso di S. S.ta se vedendo tanti preparamenti dalla parte degli ecclesiastici, ha fatto anch'egli rinforzare i presidiinelle sue Pianze, per non ricevere qualche affronto, et per voler'esser padrone, come e', mentre che vive. Con tutto cio' noi non mancheremo, secondo l'avvertimento di VS, di far tutti quelli offizii, che Madama et Io giodicheremo opportuni ma vorremmo ancora che dalla banda di corta si procurasse di rappresentare al Papa, che i suoi ministri son quelli che danno occasione lle novita', et a' i disgurti: Et che si come ogn'uno crede, che tutte queste dimostrazioni si faccino contro la mente et il volere di S. S.ta cosi ella provegga in maniera che il Duca non venga provocato, ne messo in necessicta' di far cose contrarie alla sua natura. Questo offizio vorremmo che VS facesse con la S.ta Sua, accio' ella non solamente scusasse il Duca, ma lo compatisse de travagli, che gli vengono dati sul fine della sua vita, et della sua Casa.
Quanto a Duca di Pastrana, replichiamo che le cose d'Urbino camminano oggi in una maniera, che egli per termine del suo carico, dovrebbe entraarci da se stesso, non essendo cosa che prema piu' al suo Re', che la pace et quiete d'Italia.Et sentendo che per lo stato ecclico non risuona altro che arme, egli vorrebbe saperne la cagione, poiche si potrebbe correr pericolo, che tutti i Principi, d'Italia facessero il medesimo, Il che non potrebbe piacere a S. M.ta' Et che se questi apparecchi fussero per lei cose d'Urbino non vede che ci sia bisogno alcuno di circondar con l'arme un Principe, che e' serv.re del Re, et che non domanda altro che la sua quiete, et di esser lasciato vivere in pace. Insomma a' Madama et a' me parrebbe, che a' VS con la destrezza, potesse facilmente venir fatto, di far cadere il Duca di Pastrana in questo concetto da se stesso, et cosi pigliar'occasione di discorrer con esso lui, di quello che si potesse operar col Papa intorno a' questo negozio. ___________ havendo Pastrana potuto squadrar piu' volte la _____ condizione di S. S.ta sapra' giudicar molto bene l'________ possino partorire i suoi offizii, et conseguentem[en]te _______ _oluzione piu' ferma, credendosi sempre qui, che _____ ____te ottima del Papa non si possino fare se non ottime ____i. Et Dio la conservi. 
_____ del Poggio li 23 di Genn. 1623 ab. Inc.ne</t>
  </si>
  <si>
    <t>1623/01/23</t>
  </si>
  <si>
    <t>41r-41v</t>
  </si>
  <si>
    <t>51-52</t>
  </si>
  <si>
    <t>1623/00/00</t>
  </si>
  <si>
    <t>43r</t>
  </si>
  <si>
    <t>54</t>
  </si>
  <si>
    <t>1623/10/17</t>
  </si>
  <si>
    <t>Havendo Noi approvato il prudente parer di VS dl tenersi la Principessa sposa appresso la Mre per quella buona ragione considerata da lei; et d___endo la mre entrare in Monasterio, e', necessario, che otteniamo licenza da S. S.ta di potervi mettere anche lei con __e Donne, una della quali sara' Vedova, et l'altra _____amo sapere, se d___eremo eleggerla co', Vedova co', fanciulla; Pero' VS sara' contenta, con participation, et con Da__ del s.r Cardinale, di supplicar S. S.ta __ q. licenza, et procurarne la speditione piu' ___lle cetamente, che sia possibile, per mandarcela sub[ito?]; et altro non ci ___e con q. et Il __ Iddio la conservi, et contenti: Da firenza 17 Ottobre 1623
Dovendo l_______ mandar la licenza per la Mre ___ staff__, se alta occ[asio]ne non mi s__ V. la mandera q. alta con la med[esim]a</t>
  </si>
  <si>
    <t>45r</t>
  </si>
  <si>
    <t>56</t>
  </si>
  <si>
    <t>1623/02/18</t>
  </si>
  <si>
    <t>Alle lettere di VS de X [10] et degli 11 ho poco da dire in risposta, perche quanto alla proporta fatta dal Sig.re Lodovico Ridolfi, di transferire in uno de nostri figliuoli i Benefizii che egli tiene in Uratis lavia, il Picchena d'ordine mio scrisse a VS dall'Ambrogiana quanto occorreva, mentr'Io ero quel giorno a' caccia. Et essendosi data commessione in Vienna all'Ambasc[ado]re Altoviti di procurare fedele informazione di quei Benefizii, aspetteremo il ragguaglio che da lui cene sara' dato, innanzi che si faccia altro. Intanto VS potra' far ringraziare il Sig. Lodovico del suo pensiero, con dire che ci andremo pensando, et al suo tempo gli si fara' intendere la nostra risoluzione, con quelle parole che a VS parranno convenienti.
Per conto di Monreale ho'scritto all'Arciduca Leopoldi mio frello, del Memoriale che ha' presentato al Papa quell'Arcivescovo, et l'ho' pregato a' mandar quanto prima la Procura per poter transferire la pensione, et spedirne le Bolle; et per maggior facilita' gli ho' mandato quella formula di Procura che ci fu' gia' inviata di corta'. Noi venimmo hiersera a' Pisa con cattivissimo tempo, il quale anche oggi dura molto tempe_toso, siche' faremo un carnevale senza alcun trattenimento. Barta che tutti stiamo con salute per grazia d'Iddio, il quale conservi VS in buona prosperita'. Da Pisa 18 di febraio 1623 _____</t>
  </si>
  <si>
    <t>1623/01/22</t>
  </si>
  <si>
    <t>Ruler: Gran Duchessa di Toscana</t>
  </si>
  <si>
    <t>Io che so molto bene quanto il Cavalier di sillerii sia discreto, et prudente, et che ha fatto professione fino ad hora d'essere affezzion~ a' questa Casa, non ho mai dubitato, che egli non fusse per mostrarsitale vero l'Ambas.re Albizi venuto a' rendere obbed.a a S. S.ta in nome del Gran Duca. Ho havuto dunque piacere di sentire dalle lettere de VS che ne sia seguito l'effetto con segni di molta amorevolezza, et vorrei, che egli saperse, che tutti noi ne restiamo con obligo alla sua cortesia, et io in particolare Pero' VS con buona opportunita' glie ne faccia larga testimon.a assicurandolo, che io ne conservero' grata memoria, et che non desidero altro se non che egli mi dia occasione di fargli conoscere dall'opere stesse quanto io habbia stimato questa sua amorevole di mostrazione, et Dio la conservi Dalla Villa del Poggio li 22 genn.o 1623</t>
  </si>
  <si>
    <t>49r</t>
  </si>
  <si>
    <t>60</t>
  </si>
  <si>
    <t>1623/01/17</t>
  </si>
  <si>
    <t>Comparse qua' il Barechini due giorni sono al'habbiamo visto volentieri, et sentito con molto gusto le relazioni, che ci ha fatto delle cose di cotesta Corte, et della sanita' di VS, Dalla quale stiamo hora aspettando l'avviso delle visite, che saranno passate fra' cotesti Amb. (Regii..?), et il nro d'obedienza, et le spriamo senza intoppi, secondo che ella ci scrive; Siamo Tutti al Poggio, essendovi comparsa anche Madama Ser.ma da due giorni in qua', et se bene vi habbiamo gran freddi non sono pero' crudeli, come VS rappresenta essere costa'; Perche le giornate vanno molto belle, et con sole, et finche questo non e' scoporto, non andiamo la mattina in Caccia, et ritorniamo poi la sera con esso, Talche non sentiamo trato gran freddo, come pare, che senta costi VS; Procuri pero' di difendersene in tutti i modi, per conservarsi sana, che e' quanto desideriamo, et quanto ci sovviene di replicare alle 3. lettere sue de 4. 9. et 12. et il s.re Iddio la prosperi. Dalla Villa del Poggio 17 Genn. 1623</t>
  </si>
  <si>
    <t>Non habbiamo risposto fin'hora alla prima lettera di VS de 29 7mbre (September), perche aspettiamo di Siena l'Informazione di quella supplica, ch'ella ci ha' inviata a' nome del s.r Cardinale Crescenzio, che non essendo ancora comparsa, ci e' parso di accusarlene senza piu' indugio la ricevuta, et quando havremo la d.a Informat.e, si cerchera' di servire il sud. s.r Cardinale di quel che si potra'; Ma' li due Bandi, che ha' il supplicanti, appariscono fin hora molto brutti., et 
Quanto alla 2.a [seconda?] lettera de' 30 del med[esim]o, Domani sara' qui il Cav.le Cioli, et sempre, che egli haura' da venire a' cotesta volta, segli daranno quegli ordini, et avvertimenti, che accenna VS pertrattare quel negotio con S. S.ta; et in proposito della Principessina sposa (is this Ferdinando's future bride Vittoria della Rovere?), che sara' qui domani, il tempo, et le occoninze ci governeranno per tenerla, o', ne nel Monast[e]rio della Crocetta appresso alla S.ra Principessa sua Madre (Claudia de' Medici, or someone else?), per li rispetti accennatici da VS, et faremo capitale del suo Consiglio, et ragioni scritte, et il s.re Iddio le conceda tutte le prosperita'; et rivedendosi ella col buon P're Dom. lo saluti da parte nra, et gli ricordi di nuovo il pregare per Noi. Di fiorenza 9 Ottobre 1623</t>
  </si>
  <si>
    <t>51r</t>
  </si>
  <si>
    <t>1623/10/09</t>
  </si>
  <si>
    <t>1623/02/17</t>
  </si>
  <si>
    <t>Habbiamo resoluto Madama Ser.ma et Noi di continuare la solita limosina alli Deputati della Congregatione del B___ Ipolito ancora per sei mesi, accio possino tirare innanzi il Processo, che hanno fra' mano; et si come in cio' habbiamo seguitato il consiglio di VS, cosi le ne habbiamo voluto dare l'avviso, et si e' anche fatta sapere questa nra resoluzione alli med. Deputati; et ci pare anche dovere, che ella sappia, che Noi domattina, col favor di Dio, cene andiemo all'Ambrogiana, per fare il restante delle nostre Caccie, et per'arrivare poi a' Pisa gli ultimi giorni di Carnevale; et il Gran Duca, et Noi la salutiamo. Di fiorenza 7 febbraio 1623</t>
  </si>
  <si>
    <t>VS. ci ringrazia con le opere, et Noi non ci stanchremo mai di riconscerle, cosi come le gradiamo. In tempo del suo destinato ritorno, speriamo di havere a essere in Siena, et si raginera' piu' volte della sua gita di Maremma, innanzi __ ella __ nadia, tengo in tanto VS salda questa mattina, che la vogliamo sana, come richide il nro bisogno. It el neg. del Conte Scipione (Borghese?) lasceremo dunque fare a s.r Cardinale pri_____ vede, che ne desidera ______, la febbe ritornata al Papa non ci lascia stare ___ta gelosia; et non cesseremo che aiutarlo con le orationi; et rimettendoci nel resto a q.le che le scrive Madama, la salutiamo; et Il __ Iddio la conservi, et contenti. De fiorenza 30 Ag. 1623</t>
  </si>
  <si>
    <t>55r</t>
  </si>
  <si>
    <t>66</t>
  </si>
  <si>
    <t>1623/08/30</t>
  </si>
  <si>
    <t>1623/01/25</t>
  </si>
  <si>
    <t>1623/02/07</t>
  </si>
  <si>
    <t>1623/09/18</t>
  </si>
  <si>
    <t>74</t>
  </si>
  <si>
    <t>1623/11/15</t>
  </si>
  <si>
    <t>65r-65v</t>
  </si>
  <si>
    <t>1623/01/11</t>
  </si>
  <si>
    <t>67r-67v</t>
  </si>
  <si>
    <t>79-80</t>
  </si>
  <si>
    <t>69r</t>
  </si>
  <si>
    <t>82</t>
  </si>
  <si>
    <t>1623/08/24</t>
  </si>
  <si>
    <t>71r</t>
  </si>
  <si>
    <t>84</t>
  </si>
  <si>
    <t>1623/07/03</t>
  </si>
  <si>
    <t>73r-73v</t>
  </si>
  <si>
    <t>86-87</t>
  </si>
  <si>
    <t>1623/11/16</t>
  </si>
  <si>
    <t>75r-75v</t>
  </si>
  <si>
    <t>89-90</t>
  </si>
  <si>
    <t>77r</t>
  </si>
  <si>
    <t>92</t>
  </si>
  <si>
    <t>1623/11/29</t>
  </si>
  <si>
    <t>94</t>
  </si>
  <si>
    <t>1623/11/25</t>
  </si>
  <si>
    <t>81r-81v</t>
  </si>
  <si>
    <t>83r-84r</t>
  </si>
  <si>
    <t>99-101</t>
  </si>
  <si>
    <t>1623/07/08</t>
  </si>
  <si>
    <t>85r</t>
  </si>
  <si>
    <t>87r</t>
  </si>
  <si>
    <t>1623/00/05</t>
  </si>
  <si>
    <t>89r</t>
  </si>
  <si>
    <t>106</t>
  </si>
  <si>
    <t>1623/06/06</t>
  </si>
  <si>
    <t>108</t>
  </si>
  <si>
    <t>1623/10/24</t>
  </si>
  <si>
    <t>93r-93v</t>
  </si>
  <si>
    <t>110-111</t>
  </si>
  <si>
    <t>1623/12/03</t>
  </si>
  <si>
    <t>95r</t>
  </si>
  <si>
    <t>113</t>
  </si>
  <si>
    <t>1623/08/00</t>
  </si>
  <si>
    <t>97r</t>
  </si>
  <si>
    <t>114</t>
  </si>
  <si>
    <t>115</t>
  </si>
  <si>
    <t>1623/12/20</t>
  </si>
  <si>
    <t>101r-101v</t>
  </si>
  <si>
    <t>1623/00/13</t>
  </si>
  <si>
    <t>103r</t>
  </si>
  <si>
    <t>120</t>
  </si>
  <si>
    <t>1623/01/09</t>
  </si>
  <si>
    <t>122-124</t>
  </si>
  <si>
    <t>105r-106r</t>
  </si>
  <si>
    <t>125</t>
  </si>
  <si>
    <t>107r</t>
  </si>
  <si>
    <t>1623/12/05</t>
  </si>
  <si>
    <t>109r-110r</t>
  </si>
  <si>
    <t>127-129</t>
  </si>
  <si>
    <t>1623/12/11</t>
  </si>
  <si>
    <t>111r</t>
  </si>
  <si>
    <t>131</t>
  </si>
  <si>
    <t>1623/07/06</t>
  </si>
  <si>
    <t>For some reason, the archival numbering starts over at this point. I guess because it is a new section of 1624 letters? But it is not labeled as a different folio or insert, so who knows.</t>
  </si>
  <si>
    <t>134-135</t>
  </si>
  <si>
    <t>1624/09/18</t>
  </si>
  <si>
    <t>136-137</t>
  </si>
  <si>
    <t>1624/05/09</t>
  </si>
  <si>
    <t>1624/04/14</t>
  </si>
  <si>
    <t>138</t>
  </si>
  <si>
    <t>6r-6v</t>
  </si>
  <si>
    <t>140-141</t>
  </si>
  <si>
    <t>1624/01/01</t>
  </si>
  <si>
    <t>8r</t>
  </si>
  <si>
    <t>143</t>
  </si>
  <si>
    <t>1624/04/04</t>
  </si>
  <si>
    <t>9r-9v</t>
  </si>
  <si>
    <t>144-145</t>
  </si>
  <si>
    <t>1624/05/22</t>
  </si>
  <si>
    <t>146</t>
  </si>
  <si>
    <t>1624/03/02</t>
  </si>
  <si>
    <t>148</t>
  </si>
  <si>
    <t>1624/03/27</t>
  </si>
  <si>
    <t>1624/05/08</t>
  </si>
  <si>
    <t>150</t>
  </si>
  <si>
    <t>1624/05/06</t>
  </si>
  <si>
    <t>152-153</t>
  </si>
  <si>
    <t>Ambrogiana</t>
  </si>
  <si>
    <t>1624/05/04</t>
  </si>
  <si>
    <t>155</t>
  </si>
  <si>
    <t>Villa de Baroncelli</t>
  </si>
  <si>
    <t>1624/05/20</t>
  </si>
  <si>
    <t>157</t>
  </si>
  <si>
    <t>159</t>
  </si>
  <si>
    <t>1624/04/03</t>
  </si>
  <si>
    <t>161</t>
  </si>
  <si>
    <t>163</t>
  </si>
  <si>
    <t>1624/03/11</t>
  </si>
  <si>
    <t>28r-28v</t>
  </si>
  <si>
    <t>165-166</t>
  </si>
  <si>
    <t>1624/05/13</t>
  </si>
  <si>
    <t>30r-30v</t>
  </si>
  <si>
    <t>169</t>
  </si>
  <si>
    <t>1624/04/19</t>
  </si>
  <si>
    <t>Serravezza</t>
  </si>
  <si>
    <t>171</t>
  </si>
  <si>
    <t>1624/02/18</t>
  </si>
  <si>
    <t>34r</t>
  </si>
  <si>
    <t>173</t>
  </si>
  <si>
    <t>1624/03/04</t>
  </si>
  <si>
    <t>Mi trovo questa settimana una lettera di VS la quale non contiene cosa che ricerchi risposta. Ma per non lasciar veniro questo Ordinario senza una mia, mi, bastoia dirle, che Madama la Gran Duchessa guari molto presto di quella In freddatura che le sopraggiunse, et il s.r Card.le et VS non se ne dovevano pigliar pensiero, perche quando il Picchena ne scrisse, (mostro/molto) pure che il male non era di consideratione, et lo fece, perche forse non fusse stato rappresentato da altri diversami __VS vedra' quolche il Gran Duca le scrive, et con la sua prudenza giudichera' che sia cosa di molta consideratione il vederle Armi forestiere(?), si puo dir le Porte delle nostre Citta', et io so che ella non manchera' di rappresentaio al Papa li inconvenienti che ne porsono nascere, perche dalla banda di qua saremo forlati di fare il medesimo. Hora che e' torna __ costa il Cav. Cioli, et che havra' tutte le scritture che bisognano, staremo aspettando d'intendere come s'incamineranno i negozii, et la piega che piglieranno, la quale voglio sperare che habbia da esser buona, medianto il consiglio et l'aiuta di VS. Et Dio la conservi. Di Pisa 4 Marzo 1624</t>
  </si>
  <si>
    <t>36r</t>
  </si>
  <si>
    <t>175</t>
  </si>
  <si>
    <t>1624/05/21</t>
  </si>
  <si>
    <t>38r</t>
  </si>
  <si>
    <t>177</t>
  </si>
  <si>
    <t>1624/04/18</t>
  </si>
  <si>
    <t>40r</t>
  </si>
  <si>
    <t>179</t>
  </si>
  <si>
    <t>Sertana</t>
  </si>
  <si>
    <t>1624/01/22</t>
  </si>
  <si>
    <t>42r</t>
  </si>
  <si>
    <t>181</t>
  </si>
  <si>
    <t>44r</t>
  </si>
  <si>
    <t>183</t>
  </si>
  <si>
    <t>1624/03/29</t>
  </si>
  <si>
    <t>Non ci e' chi sappia meglio di VS la volonta' che Noi habbiamo havuto sempre di gratificare il Duca di Bracciano et la moglie, et i pagamenti che habbiamo lor fatti con nostro risico, s tante il sequestro di Napoli, Il quale non havendo essi fatto mai levare, e' segno che vi hanno trovato delle difficulta'. Et perche Madama la Gran Duchessa [Christine of Lorraine] et Io [Maria Maddalena] siamo Tutrici, e' obbligo nostro di avvertire, che per troppa facilita' nostra, il Gran Duca [Ferdinando] non riceva danno. Con tutto cio' premendo il s.r Cardinale che si dia al Duca questa sodisfazzione, si risponde a s. s. Ill.ma et l'Aud.re Antella ne devi scrivere anco a' VS che dandosi all Appalto cauzione idonea, di conservare indenne il Gran Duca, ogni volta che il denaro si trovasse esser mal pagato, noi procureremo che se ne faccia lo sborso per questa volta. Tanto potra' VS rispondere a' chi glie n'ha'parlato. Et il sig.re Iddio la prosperi. Di Livorno li 29 Marzo 1624 __</t>
  </si>
  <si>
    <t>185-186</t>
  </si>
  <si>
    <t>46r-46v</t>
  </si>
  <si>
    <t>1624/03/22</t>
  </si>
  <si>
    <t>[to Count Orso] Faremo unitam[en]te risposta con questa sol lettera a' diverse gratissime vostre, e prima vi diremo, che quanto a quello, che ci avvisatesopra il neg[ozi]o dela Clausura dele Convertite di Siena, che quei ss.i Cardinali dela Congregazione desideravan di sapere, se altri Monasterii, e luogho pii fosser soliti tener nel Monte di Pieta' di Fiorenza i lor Danari per salvar ogni scrupolo, Vi diciamo assolutam[en]te, che molti, e molti monasteri, vene tengono, et con ogni sicurezza, Perche nell'ultima Riforma di d.Monte haviamo fatto veder, estudiar questo punto da gravissimi Theologi, e Dottori eminenti, e da Prelati Ecclesiastici, In somma hanno resoluto, et approvato tutti, che con sicura conscienzia vi si possin tenere -- Quanto poi alla Rendita, che noi intendiamo dar per il supplemento de gli alimenti di quelle Madri, di nostro Danaro, accio' sia sicura noi ne faremo un entrata perpetua fermata con buone scritta et ne daremo assegnamenti tali, che non vi sia punto punto da dubitare, e di tanto potiete assicurarne quegli Ill.mi della Congregazione -- Sentiamo grandem[en]te le male nuove, che ci date del sig.re Cardinale Gaetano, non sol per il dispiacer' di S.S.ta e per il danno, che ricevera' il sacro Colleg[io] d'un Valoroso suggetto, ma per la perdita, che fara' anco questa Casa d'un confidente cosi qualificato. Ma convien accomodarsi a' quel che piace al sig.re -- Per conto del maccabruni, che ha raccomandato per in Capitanato, com'anco del Caval. Placidi, Piccolhomini dela Triana, e Vecchi, noi haviamo ordinato, che ci sian ricordati al debito tempo, e se le informazioni corrisponderanno, non macheremo di far Capitale di quello, che avvisate, e di haverli Inconsiderazione Desiderando In queste, et altre occasioni dimostrarvi Il n[ost]ro solito affetoo, con il quale vi preghiamo dal sig.re ogni proper__ 
Di Livorno a 22 di marco 1624 an__</t>
  </si>
  <si>
    <t>ASF, Acquisti e Doni, Fol 243, Ins 5.</t>
  </si>
  <si>
    <t>ASF, Mediceo del Principato, Fol 1839.</t>
  </si>
  <si>
    <t>85</t>
  </si>
  <si>
    <t>1628/06/27</t>
  </si>
  <si>
    <t>Capponi, Carlo</t>
  </si>
  <si>
    <t>Secretary: Secretary of Margo Lombardi</t>
  </si>
  <si>
    <t>Villa a Bagnuolo</t>
  </si>
  <si>
    <t>133-134</t>
  </si>
  <si>
    <t>Simoni, Antonio</t>
  </si>
  <si>
    <t>136</t>
  </si>
  <si>
    <t>110r</t>
  </si>
  <si>
    <t>The bottom left corner that usually indicates the recipient says this is to a secretary, but the greeting looks like the one used for the Grand Duke</t>
  </si>
  <si>
    <t>215r-215v</t>
  </si>
  <si>
    <t>259-260</t>
  </si>
  <si>
    <t>1630/07/13</t>
  </si>
  <si>
    <t>Parigi, Giulio</t>
  </si>
  <si>
    <t>227r</t>
  </si>
  <si>
    <t>1630/09/15</t>
  </si>
  <si>
    <t>276</t>
  </si>
  <si>
    <t>301r</t>
  </si>
  <si>
    <t>360</t>
  </si>
  <si>
    <t>1621/07/13</t>
  </si>
  <si>
    <t>Ruler: Duca di Northumbria</t>
  </si>
  <si>
    <t>Ruler: Marchese</t>
  </si>
  <si>
    <t>317r</t>
  </si>
  <si>
    <t>379</t>
  </si>
  <si>
    <t>1631/09/05</t>
  </si>
  <si>
    <t xml:space="preserve">Nigetti, Matteo </t>
  </si>
  <si>
    <t>4</t>
  </si>
  <si>
    <t>Paris</t>
  </si>
  <si>
    <t>8</t>
  </si>
  <si>
    <t>10</t>
  </si>
  <si>
    <t>14</t>
  </si>
  <si>
    <t>16</t>
  </si>
  <si>
    <t>26-27</t>
  </si>
  <si>
    <t>30</t>
  </si>
  <si>
    <t>32</t>
  </si>
  <si>
    <t>34</t>
  </si>
  <si>
    <t>36</t>
  </si>
  <si>
    <t>38</t>
  </si>
  <si>
    <t>Fontaynebleau</t>
  </si>
  <si>
    <t>47</t>
  </si>
  <si>
    <t>St. Germain</t>
  </si>
  <si>
    <t>27r</t>
  </si>
  <si>
    <t>49</t>
  </si>
  <si>
    <t>de' Medici, Cosimo II</t>
  </si>
  <si>
    <t>55</t>
  </si>
  <si>
    <t>1617/09/27</t>
  </si>
  <si>
    <t>77</t>
  </si>
  <si>
    <t xml:space="preserve">Compiegne </t>
  </si>
  <si>
    <t>0000/00/00</t>
  </si>
  <si>
    <t>Clergy: Cardinale Decano e Principe di Toscana</t>
  </si>
  <si>
    <t>Clergy: Cardinale</t>
  </si>
  <si>
    <t>Extended Family</t>
  </si>
  <si>
    <t>Relationship</t>
  </si>
  <si>
    <t>Beaurocratic</t>
  </si>
  <si>
    <t>Clerical</t>
  </si>
  <si>
    <t>Nobles</t>
  </si>
  <si>
    <t>Rulers</t>
  </si>
  <si>
    <t>Close Family</t>
  </si>
  <si>
    <t>Subjects</t>
  </si>
  <si>
    <t>Noble</t>
  </si>
  <si>
    <t>Bracc.no</t>
  </si>
  <si>
    <t>Madrid</t>
  </si>
  <si>
    <t>75</t>
  </si>
  <si>
    <t>Casteldurante</t>
  </si>
  <si>
    <t>76</t>
  </si>
  <si>
    <t>1616/12/24</t>
  </si>
  <si>
    <t>Venezia</t>
  </si>
  <si>
    <t>de' Medici, Giovanni</t>
  </si>
  <si>
    <t>137</t>
  </si>
  <si>
    <t>139</t>
  </si>
  <si>
    <t>149</t>
  </si>
  <si>
    <t>Relationships</t>
  </si>
  <si>
    <t>Diplomatic</t>
  </si>
  <si>
    <t>Topics</t>
  </si>
  <si>
    <t>Marriage Negotiation</t>
  </si>
  <si>
    <t>Holiday</t>
  </si>
  <si>
    <t>Supplication/Request</t>
  </si>
  <si>
    <t>Politics</t>
  </si>
  <si>
    <t>Religion</t>
  </si>
  <si>
    <t>Congratulations</t>
  </si>
  <si>
    <t>Condolences</t>
  </si>
  <si>
    <t>Cipher</t>
  </si>
  <si>
    <t>None</t>
  </si>
  <si>
    <t>Some</t>
  </si>
  <si>
    <t>Most-All</t>
  </si>
  <si>
    <t>Conclave</t>
  </si>
  <si>
    <t>Relics</t>
  </si>
  <si>
    <t>Inventory</t>
  </si>
  <si>
    <t>Language</t>
  </si>
  <si>
    <t>Italian</t>
  </si>
  <si>
    <t>Latin</t>
  </si>
  <si>
    <t>German</t>
  </si>
  <si>
    <t>French</t>
  </si>
  <si>
    <t>Spanish</t>
  </si>
  <si>
    <t>Avvisi</t>
  </si>
  <si>
    <t>Medical</t>
  </si>
  <si>
    <t>Military</t>
  </si>
  <si>
    <t>Trade/Economy</t>
  </si>
  <si>
    <t>Ruolo</t>
  </si>
  <si>
    <t>Loreto</t>
  </si>
  <si>
    <t>Austria</t>
  </si>
  <si>
    <t>ASF, Mediceo del Principato, Fol 1942.</t>
  </si>
  <si>
    <t>Cioli, Andrea</t>
  </si>
  <si>
    <t>1627/02/25</t>
  </si>
  <si>
    <t>7r</t>
  </si>
  <si>
    <t>1627/03/01</t>
  </si>
  <si>
    <t>1627/03/17</t>
  </si>
  <si>
    <t>1627/02/21</t>
  </si>
  <si>
    <t>1627/07/12</t>
  </si>
  <si>
    <t>1627/07/14</t>
  </si>
  <si>
    <t>1627/07/23</t>
  </si>
  <si>
    <t>1627/07/26</t>
  </si>
  <si>
    <t>1627/07/29</t>
  </si>
  <si>
    <t>di Lorena, Cristina</t>
  </si>
  <si>
    <t>1627/08/03</t>
  </si>
  <si>
    <t>1627/08/14</t>
  </si>
  <si>
    <t>1627/08/17</t>
  </si>
  <si>
    <t>29r</t>
  </si>
  <si>
    <t>1627/08/22</t>
  </si>
  <si>
    <t>46</t>
  </si>
  <si>
    <t>1627/08/13</t>
  </si>
  <si>
    <t>48</t>
  </si>
  <si>
    <t>51</t>
  </si>
  <si>
    <t>Beaurocrat: Bali/Cavallo and Segretario di Stato for CL and Ferd. II</t>
  </si>
  <si>
    <t>71</t>
  </si>
  <si>
    <t>73</t>
  </si>
  <si>
    <t>1628/02/28</t>
  </si>
  <si>
    <t>La notitia che ho delle buone qualita di Francesco Spigliati, et il desideno, che tengo di compiacere, chi per lui intercede, m__fa ch'Io preghi con tutto l'animo VA a volerlo havene in gratia mia per raccommandato assicurandola che tutti i fa___ che lui ricecesa dalla 	benigna mano dell VA gli reputeso mi et proprie puo restarlene magg___ obbliata Et con il piu ___io affetto che posso le bacio la mano...............
questo e' __ preso della Signore fiorenza la __li ___ lo  on bene servi la che non poso di mano chi __uplicari VA per ogn suo bene et a VA mi ricondo</t>
  </si>
  <si>
    <t>1628/03/09</t>
  </si>
  <si>
    <t>99r</t>
  </si>
  <si>
    <t>103</t>
  </si>
  <si>
    <t>Dubbe/Tutte le occasioni di ricordare a; VA la mia obligata servitu' da me sono volente risc__o r_____ come adesso con il ritorno della signora Maria Rosi la quale a VA per mia parte faca reveren va et li dara' con lo del mio stato che Dio lo dato godo intera calabe qua habiamo buoni Predicatoso ma i tempi cano molto stia vagonti e fredi et a VA bacio con ogni affetto per mile voltedi tutto core le mani ricordandomoli obli__ le ___ serva et pregando li da NS compite con _____ .........................................??????//
finish later this hand is hard</t>
  </si>
  <si>
    <t>1628/03/02</t>
  </si>
  <si>
    <t xml:space="preserve">100r </t>
  </si>
  <si>
    <t>1628/03/21</t>
  </si>
  <si>
    <t>101r</t>
  </si>
  <si>
    <t>105</t>
  </si>
  <si>
    <t>1628/03/27</t>
  </si>
  <si>
    <t>102r-102v</t>
  </si>
  <si>
    <t>106-107</t>
  </si>
  <si>
    <t>I don't think this is the Duke of Mantua Catherine's husband because he addresses the letter to her as his "nipote," and he signs off as her "zio," so…. Who is this?</t>
  </si>
  <si>
    <t>1628/03/18</t>
  </si>
  <si>
    <t>Ruler: Duca di Mantova</t>
  </si>
  <si>
    <t>104r</t>
  </si>
  <si>
    <t>109</t>
  </si>
  <si>
    <t>110</t>
  </si>
  <si>
    <t>1628/04/11</t>
  </si>
  <si>
    <t>106r</t>
  </si>
  <si>
    <t>111</t>
  </si>
  <si>
    <t>1628/04/17</t>
  </si>
  <si>
    <t>107r-107v</t>
  </si>
  <si>
    <t>112-113</t>
  </si>
  <si>
    <t>1628/04/22</t>
  </si>
  <si>
    <t>1628/04/25</t>
  </si>
  <si>
    <t>108r</t>
  </si>
  <si>
    <t>109r</t>
  </si>
  <si>
    <t>1628/04/29</t>
  </si>
  <si>
    <t>122r</t>
  </si>
  <si>
    <t>128</t>
  </si>
  <si>
    <t>1628/05/03</t>
  </si>
  <si>
    <t>123r</t>
  </si>
  <si>
    <t>129</t>
  </si>
  <si>
    <t>I can't tell if the bottom left corner says S~ as in Signiore or as in Segretario Dimargo Lombardi; so this is either a person called Dimargo Lombardi or the Secretary of Margo Lombardi as I have recorded elsewhere</t>
  </si>
  <si>
    <t>124r</t>
  </si>
  <si>
    <t>130</t>
  </si>
  <si>
    <t>1628/05/09</t>
  </si>
  <si>
    <t>125r</t>
  </si>
  <si>
    <t>1628/05/06</t>
  </si>
  <si>
    <t>126r</t>
  </si>
  <si>
    <t>132</t>
  </si>
  <si>
    <t>1628/05/07</t>
  </si>
  <si>
    <t>127r</t>
  </si>
  <si>
    <t>133</t>
  </si>
  <si>
    <t>1628/05/10</t>
  </si>
  <si>
    <t>128r</t>
  </si>
  <si>
    <t>134</t>
  </si>
  <si>
    <t>1628/05/23</t>
  </si>
  <si>
    <t>135-136</t>
  </si>
  <si>
    <t>129r-129v</t>
  </si>
  <si>
    <t>130r</t>
  </si>
  <si>
    <t>1628/05/30</t>
  </si>
  <si>
    <t>140r</t>
  </si>
  <si>
    <t>147</t>
  </si>
  <si>
    <t>141r</t>
  </si>
  <si>
    <t>1628/06/04</t>
  </si>
  <si>
    <t>142r</t>
  </si>
  <si>
    <t>1628/06/07</t>
  </si>
  <si>
    <t>143r</t>
  </si>
  <si>
    <t>144r</t>
  </si>
  <si>
    <t>151</t>
  </si>
  <si>
    <t>1628/06/19</t>
  </si>
  <si>
    <t>1628/06/26</t>
  </si>
  <si>
    <t>145r</t>
  </si>
  <si>
    <t>152</t>
  </si>
  <si>
    <t>1628/07/11</t>
  </si>
  <si>
    <t>146r</t>
  </si>
  <si>
    <t>153</t>
  </si>
  <si>
    <t>147r</t>
  </si>
  <si>
    <t>154</t>
  </si>
  <si>
    <t>1628/07/12</t>
  </si>
  <si>
    <t>148r</t>
  </si>
  <si>
    <t>1628/07/14</t>
  </si>
  <si>
    <t>149r</t>
  </si>
  <si>
    <t>156</t>
  </si>
  <si>
    <t>150r</t>
  </si>
  <si>
    <t>1628/07/15</t>
  </si>
  <si>
    <t>151r</t>
  </si>
  <si>
    <t>158</t>
  </si>
  <si>
    <t>163r</t>
  </si>
  <si>
    <t>170</t>
  </si>
  <si>
    <t>164r</t>
  </si>
  <si>
    <t>1628/07/17</t>
  </si>
  <si>
    <t>165r</t>
  </si>
  <si>
    <t>172</t>
  </si>
  <si>
    <t>1628/07/31</t>
  </si>
  <si>
    <t>1628/08/01</t>
  </si>
  <si>
    <t>166r</t>
  </si>
  <si>
    <t>1628/08/19</t>
  </si>
  <si>
    <t>167r</t>
  </si>
  <si>
    <t>174</t>
  </si>
  <si>
    <t>1628/08/21</t>
  </si>
  <si>
    <t>168r</t>
  </si>
  <si>
    <t>176</t>
  </si>
  <si>
    <t>169r</t>
  </si>
  <si>
    <t>1628/08/22</t>
  </si>
  <si>
    <t>1628/08/26</t>
  </si>
  <si>
    <t>170r</t>
  </si>
  <si>
    <t>178</t>
  </si>
  <si>
    <t>171r</t>
  </si>
  <si>
    <t>1628/09/22</t>
  </si>
  <si>
    <t>181r</t>
  </si>
  <si>
    <t>185</t>
  </si>
  <si>
    <t>1628/09/26</t>
  </si>
  <si>
    <t>182r</t>
  </si>
  <si>
    <t>186</t>
  </si>
  <si>
    <t>1628/10/01</t>
  </si>
  <si>
    <t>1628/10/00</t>
  </si>
  <si>
    <t>187-188</t>
  </si>
  <si>
    <t>184r</t>
  </si>
  <si>
    <t>189</t>
  </si>
  <si>
    <t>1628/10/23</t>
  </si>
  <si>
    <t>185r</t>
  </si>
  <si>
    <t>190-191</t>
  </si>
  <si>
    <t>192</t>
  </si>
  <si>
    <t>186r</t>
  </si>
  <si>
    <t>1628/10/26</t>
  </si>
  <si>
    <t>1628/11/10</t>
  </si>
  <si>
    <t>187r</t>
  </si>
  <si>
    <t>193</t>
  </si>
  <si>
    <t>188r-188v</t>
  </si>
  <si>
    <t>194-195</t>
  </si>
  <si>
    <t>1628/11/13</t>
  </si>
  <si>
    <t>This is probably to Andrea Cioli but there is no explicit name to confirm</t>
  </si>
  <si>
    <t>1628/11/29</t>
  </si>
  <si>
    <t>189r</t>
  </si>
  <si>
    <t>196-197</t>
  </si>
  <si>
    <t>190r</t>
  </si>
  <si>
    <t>198</t>
  </si>
  <si>
    <t>1628/12/01</t>
  </si>
  <si>
    <t>191r</t>
  </si>
  <si>
    <t>199</t>
  </si>
  <si>
    <t>Probably included in the letter immediately before this one. See ASF, Mediceo del Principato, Fol 1942, 190r. I'm guessing it is the same date, but it is not explicit.</t>
  </si>
  <si>
    <t>Letters to Cioli are sometimes marked on the envelope of the letter as "alla corte," so they were meant for the whole Medici court/inner circle/family. I assume this is information meant for CL, MM, and F that is dissiminated through the secretary of state.</t>
  </si>
  <si>
    <t>203r</t>
  </si>
  <si>
    <t>208</t>
  </si>
  <si>
    <t>1628/12/26</t>
  </si>
  <si>
    <t>1629/01/03</t>
  </si>
  <si>
    <t>Here again Caterina is changing the year after January 1, not using the Florentine custom.</t>
  </si>
  <si>
    <t>204r</t>
  </si>
  <si>
    <t>209</t>
  </si>
  <si>
    <t>Officiali di Balia di Siena</t>
  </si>
  <si>
    <t>Pinocci, Turno</t>
  </si>
  <si>
    <t>Beaurocrat: Seg.o di Mand.o (Mantova?)</t>
  </si>
  <si>
    <t>207r</t>
  </si>
  <si>
    <t>210</t>
  </si>
  <si>
    <t>1609/06/22</t>
  </si>
  <si>
    <t>Piccolomini, Carlo</t>
  </si>
  <si>
    <t>1609/12/29</t>
  </si>
  <si>
    <t>208r</t>
  </si>
  <si>
    <t>211</t>
  </si>
  <si>
    <t xml:space="preserve">Gug.mi, Gio. Batta </t>
  </si>
  <si>
    <t>212</t>
  </si>
  <si>
    <t>1610/01/06</t>
  </si>
  <si>
    <t xml:space="preserve">Beaurocrat: Seg.o di M.to </t>
  </si>
  <si>
    <t>Vecchi, Clemente</t>
  </si>
  <si>
    <t>210r</t>
  </si>
  <si>
    <t>213</t>
  </si>
  <si>
    <t>1610/06/21</t>
  </si>
  <si>
    <t>211r</t>
  </si>
  <si>
    <t>214r</t>
  </si>
  <si>
    <t>M. Puli.no</t>
  </si>
  <si>
    <t>1610/06/27</t>
  </si>
  <si>
    <t>Sforza, Unnamed</t>
  </si>
  <si>
    <t>212r</t>
  </si>
  <si>
    <t>214</t>
  </si>
  <si>
    <t>215</t>
  </si>
  <si>
    <t>1611/12/22</t>
  </si>
  <si>
    <t>Borghesi, Calidonia</t>
  </si>
  <si>
    <t>Clergy: Suor</t>
  </si>
  <si>
    <t>213r</t>
  </si>
  <si>
    <t>216</t>
  </si>
  <si>
    <t>1611/01/19</t>
  </si>
  <si>
    <t>?, Honesta</t>
  </si>
  <si>
    <t>217</t>
  </si>
  <si>
    <t>1611/01/22</t>
  </si>
  <si>
    <t>Gonzaga, Carlo</t>
  </si>
  <si>
    <t>215r</t>
  </si>
  <si>
    <t>218</t>
  </si>
  <si>
    <t>Bulgarini, Bellisario</t>
  </si>
  <si>
    <t>216r</t>
  </si>
  <si>
    <t>219</t>
  </si>
  <si>
    <t>1611/02/20</t>
  </si>
  <si>
    <t>Brunaceli, Ottaviano</t>
  </si>
  <si>
    <t>Cap[ita]no e Gov.re for the Grand Duke</t>
  </si>
  <si>
    <t>Giglio</t>
  </si>
  <si>
    <t>1611/02/21</t>
  </si>
  <si>
    <t>217r</t>
  </si>
  <si>
    <t>220</t>
  </si>
  <si>
    <t>218r</t>
  </si>
  <si>
    <t>221</t>
  </si>
  <si>
    <t>1611/03/05</t>
  </si>
  <si>
    <t>Multiple</t>
  </si>
  <si>
    <t>Senders: Giovanni Mazzei Aud., Julius Galli Cap., Ric.o S,ti f.le, Fran.o Avi_idi</t>
  </si>
  <si>
    <t>219r-219v</t>
  </si>
  <si>
    <t>222-223</t>
  </si>
  <si>
    <t>1611/04/07</t>
  </si>
  <si>
    <t>?, Maria Francesca</t>
  </si>
  <si>
    <t>Clergy: Suor e Abb.a delle povere cappucine di Siena</t>
  </si>
  <si>
    <t>235</t>
  </si>
  <si>
    <t>1611/05/13</t>
  </si>
  <si>
    <t>236</t>
  </si>
  <si>
    <t>1611/06/22</t>
  </si>
  <si>
    <t>236r</t>
  </si>
  <si>
    <t>237</t>
  </si>
  <si>
    <t>1611/07/07</t>
  </si>
  <si>
    <t>237r</t>
  </si>
  <si>
    <t>238</t>
  </si>
  <si>
    <t>1611/11/25</t>
  </si>
  <si>
    <t>238r</t>
  </si>
  <si>
    <t>239</t>
  </si>
  <si>
    <t>Pitt__i Ma_.co, Francesco</t>
  </si>
  <si>
    <t>1611/12/20</t>
  </si>
  <si>
    <t>Rovere, __assil_a</t>
  </si>
  <si>
    <t>240</t>
  </si>
  <si>
    <t>239r</t>
  </si>
  <si>
    <t>1612/01/03</t>
  </si>
  <si>
    <t>240r</t>
  </si>
  <si>
    <t>241</t>
  </si>
  <si>
    <t>1612/01/06</t>
  </si>
  <si>
    <t>242r</t>
  </si>
  <si>
    <t>242</t>
  </si>
  <si>
    <t>241r</t>
  </si>
  <si>
    <t>1612/02/18</t>
  </si>
  <si>
    <t>243</t>
  </si>
  <si>
    <t>1612/04/20</t>
  </si>
  <si>
    <t>243r</t>
  </si>
  <si>
    <t>244</t>
  </si>
  <si>
    <t>Finetti, Latt.o</t>
  </si>
  <si>
    <t>1612/05/01</t>
  </si>
  <si>
    <t>Beaurocrat: Sec.rio delle leggi de mand.to</t>
  </si>
  <si>
    <t>254r</t>
  </si>
  <si>
    <t>252</t>
  </si>
  <si>
    <t>255r</t>
  </si>
  <si>
    <t>253</t>
  </si>
  <si>
    <t>1612/05/17</t>
  </si>
  <si>
    <t>254</t>
  </si>
  <si>
    <t>1612/06/20</t>
  </si>
  <si>
    <t>Savini, Alessandro</t>
  </si>
  <si>
    <t>257r</t>
  </si>
  <si>
    <t>255</t>
  </si>
  <si>
    <t>1612/07/15</t>
  </si>
  <si>
    <t>258r</t>
  </si>
  <si>
    <t>256</t>
  </si>
  <si>
    <t>Borghesi, Curtio</t>
  </si>
  <si>
    <t>1612/12/09</t>
  </si>
  <si>
    <t>1613/01/16</t>
  </si>
  <si>
    <t>257-258</t>
  </si>
  <si>
    <t>259r-259v</t>
  </si>
  <si>
    <t>Albizi, Bernardo</t>
  </si>
  <si>
    <t>260r</t>
  </si>
  <si>
    <t>259</t>
  </si>
  <si>
    <t>1613/06/21</t>
  </si>
  <si>
    <t>Noble: Marchese</t>
  </si>
  <si>
    <t>261r</t>
  </si>
  <si>
    <t>260</t>
  </si>
  <si>
    <t>1613/06/22</t>
  </si>
  <si>
    <t>261</t>
  </si>
  <si>
    <t>262r</t>
  </si>
  <si>
    <t>1613/07/08</t>
  </si>
  <si>
    <t>Olio, Matteo</t>
  </si>
  <si>
    <t>263r</t>
  </si>
  <si>
    <t>262</t>
  </si>
  <si>
    <t>1613/08/11</t>
  </si>
  <si>
    <t>264r</t>
  </si>
  <si>
    <t>263</t>
  </si>
  <si>
    <t>1613/08/18</t>
  </si>
  <si>
    <t>265r</t>
  </si>
  <si>
    <t>264</t>
  </si>
  <si>
    <t>Ceni, Giuseppe</t>
  </si>
  <si>
    <t>0000/05/01</t>
  </si>
  <si>
    <t>266r</t>
  </si>
  <si>
    <t>265</t>
  </si>
  <si>
    <t>La Natione nostra devotissima di VAS confidata nella solita benignita' della medesima, haviendo inteso, che Olso Cittadini, lettor di lingua Toscana in questo studio, e' per andarsene con licenza di lei a Roma, o' altrove, a fare stampar suoi libri, e star lontano per qualche tempo.
Humilmente la prega, a voter restar servita, segnando con benigno rescritto, l'incluso memoriale, di concederci, che in luogo di lui, per quel tempo che tara' fuore, possa essere essercitata, la suddetta lettura, da Girolamo Buoninsegni, il quale gia' per lo spatio di dieci anni, con nostra intiera soddisfattione, ha ser__ita la Natione nostra, insegnando la detta lingua privatamente.
La qual gratia (considerando che in riguardo nostro e' stata introdotta questa lettione) c'assionirano, che della quale insieme con le molte altre, dalla medesima otten__te, terzemo memoria particolare, pregando sempre N.S. per ogni sua maggior grandezza, et essaltazione. Di Siena a di 18 di Genaio [1]615</t>
  </si>
  <si>
    <t>Our most devoted Nation, Your Majesty, trusts in Your usual kindness, having learned that Olso Cittadini, a Tuscan language lecturer in this study, is about to leave with Your permission for Rome or elsewhere to have his books printed and remain away for some time.
We humbly beg You, to be served, by kindly signing the enclosed memorial, to grant us that in his place, for the time being outside, the aforementioned lecture may be practiced by Girolamo Buoninsegni, who has already served our Nation for the space of ten years, to our complete satisfaction, by teaching the said language privately.
We assure You of this favor (considering that this lecture was introduced with Our consideration), that, together with the many others received from You, We give You special mention of it, always praying to Our Lord. for all its greater grandeur and exaltation. From Siena on January 18 [1]615</t>
  </si>
  <si>
    <t>Consiliario e Procriratori della Nazione Germana to the Grand Duke (Cosimo if this is 1615)</t>
  </si>
  <si>
    <t>Consiliario e Procriratori della Nazione Germana</t>
  </si>
  <si>
    <t>1615/01/18</t>
  </si>
  <si>
    <t>267r</t>
  </si>
  <si>
    <t>266</t>
  </si>
  <si>
    <t>1625/06/25</t>
  </si>
  <si>
    <t>268r</t>
  </si>
  <si>
    <t>267</t>
  </si>
  <si>
    <t>1621/06/20</t>
  </si>
  <si>
    <t>269r</t>
  </si>
  <si>
    <t>268</t>
  </si>
  <si>
    <t>1621/07/00</t>
  </si>
  <si>
    <t>270r</t>
  </si>
  <si>
    <t>269</t>
  </si>
  <si>
    <t>1615/09/07</t>
  </si>
  <si>
    <t>271r</t>
  </si>
  <si>
    <t>270</t>
  </si>
  <si>
    <t>1615/11/27</t>
  </si>
  <si>
    <t>Malvezzi, Peritio</t>
  </si>
  <si>
    <t>272r</t>
  </si>
  <si>
    <t>271</t>
  </si>
  <si>
    <t>277</t>
  </si>
  <si>
    <t>292r</t>
  </si>
  <si>
    <t>1621/11/28</t>
  </si>
  <si>
    <t>293r</t>
  </si>
  <si>
    <t>278</t>
  </si>
  <si>
    <t>294r</t>
  </si>
  <si>
    <t>279</t>
  </si>
  <si>
    <t>Finetti, Lattantio</t>
  </si>
  <si>
    <t>280</t>
  </si>
  <si>
    <t>295r</t>
  </si>
  <si>
    <t>1615/12/00</t>
  </si>
  <si>
    <t>1615/12/05</t>
  </si>
  <si>
    <t>1615/11/28</t>
  </si>
  <si>
    <t>281</t>
  </si>
  <si>
    <t>296r</t>
  </si>
  <si>
    <t>1615/12/19</t>
  </si>
  <si>
    <t>Perugia</t>
  </si>
  <si>
    <t>Piccolomini, Enea</t>
  </si>
  <si>
    <t>282</t>
  </si>
  <si>
    <t>297r</t>
  </si>
  <si>
    <t>1615/12/21</t>
  </si>
  <si>
    <t>With great reverence I announce to Your Majesty the celebrations of this most blessed Christmas, a reminder of my devoted servitude, and I am obliged to the favorable honors I hold in your greatness. I beg Your Majesty to deign to know from this demonstration the obedience to your commandments that lives in me, and how much I long to be preserved in your grace, to whom I wish a long life in such high prosperity: and I humbly bow to You.</t>
  </si>
  <si>
    <t xml:space="preserve">Co' molta riverenza annuntio a' VAS felici le feste di questo s__mo Natale, ricordo della devota mia servitu', et obligo delli favorevoli honori, che tengo alla grandezza di lei. Supplico VAS a' degnarsi di conoscere in questa demostratione l'obedienza, che vive in me delli suoi comandamenti, e quant'io ambisco d'esser conservato nella sua gratia, alla quale auguro lunga vita in cosi alta prosperita': e humilissiamente a VA m'inchino </t>
  </si>
  <si>
    <t>Prima che non siano giunto li venti turchi da Grossetto, non ho vvoluto rispondere a VA,. In questa sera su l'ave maria sono arrivati, et ben conodti, lasciero', che tutto dimane si riposono, e poi gli inviero' alla volta di livorno, accompagnati da gl'istessi soldati, che gli' hanno condotti a' siena, et riportandomi a' quel di piu', che intorno a cio' le rifferira' il signore segretario Rena, faro' fine in chinandomele, mente a' V.A.S. Io humilissima riverenza, pregandoli da Dio ogni maggiore grandezza</t>
  </si>
  <si>
    <t>I did not want to reply to Your Highness until the twenty Turks from Grossetto arrived. They arrived this evening on the Ave Maria, and since they are well known, I will leave them to rest all tomorrow, and then I will send them towards Livorno, accompanied by the same soldiers who took them to Siena. Reporting further information that the secretary, Rena, will tell you about this, I will finish by bowing to Your Highness, while I offer you my most humble reverence, praying to God for every greater greatness.</t>
  </si>
  <si>
    <t>1615/00/30</t>
  </si>
  <si>
    <t>298r</t>
  </si>
  <si>
    <t>283</t>
  </si>
  <si>
    <t>299r</t>
  </si>
  <si>
    <t>284</t>
  </si>
  <si>
    <t>300r</t>
  </si>
  <si>
    <t>1616/00/10</t>
  </si>
  <si>
    <t>Beaurocrat: Seg.o</t>
  </si>
  <si>
    <t>No idea if this is to MM or CL… there are three letters from the Siena Balia all sent on the same day but to three different recipients</t>
  </si>
  <si>
    <t>302r</t>
  </si>
  <si>
    <t>303r</t>
  </si>
  <si>
    <t>1616/02/16</t>
  </si>
  <si>
    <t>1616/02/20</t>
  </si>
  <si>
    <t>304r</t>
  </si>
  <si>
    <t>289</t>
  </si>
  <si>
    <t>1616/06/21</t>
  </si>
  <si>
    <t>305r</t>
  </si>
  <si>
    <t>290</t>
  </si>
  <si>
    <t>292</t>
  </si>
  <si>
    <t>291</t>
  </si>
  <si>
    <t>1616/07/18</t>
  </si>
  <si>
    <t>1616/09/27</t>
  </si>
  <si>
    <t>285-286</t>
  </si>
  <si>
    <t>287-288</t>
  </si>
  <si>
    <t>306r-307r</t>
  </si>
  <si>
    <t>293-295</t>
  </si>
  <si>
    <t>Gross[ett]o</t>
  </si>
  <si>
    <t>Lazzari, Jacomo</t>
  </si>
  <si>
    <t>321r</t>
  </si>
  <si>
    <t>296</t>
  </si>
  <si>
    <t>1616/11/25</t>
  </si>
  <si>
    <t>Griffeli, Bartolomeo</t>
  </si>
  <si>
    <t>322r</t>
  </si>
  <si>
    <t>297</t>
  </si>
  <si>
    <t>del Golia, Curtio</t>
  </si>
  <si>
    <t>1616/11/21</t>
  </si>
  <si>
    <t>323r</t>
  </si>
  <si>
    <t>298</t>
  </si>
  <si>
    <t>Albizi, Laura</t>
  </si>
  <si>
    <t>1616/12/04</t>
  </si>
  <si>
    <t>324r</t>
  </si>
  <si>
    <t>299</t>
  </si>
  <si>
    <t>Al debito tempo essequiro' il comandamento di VA Ser in tenere al sagro fonte a nome dell'A vostra la creatura, che nascera' della sposa Agostini, con dargliene particolar conto del seguito, rendendole umili gratie dell' honore fattomi, in comettere a me questo offitio; resto obligatissima insieme con tutti li miei figli prepare il signore Dio che guardi sempre la persona di VAS, e li conceda ogni bramata</t>
  </si>
  <si>
    <t>At the appropriate time, I will fulfill the commandment of Your Highness to keep at the sacred font in the name of Your Highness the child who will be born of the wife Agostini, giving him a particular account of the outcome, rendering humble thanks to you for the honor done to me, in entrusting this office to me. I remain most obliged, together with all my children, to the Lord God, that He may always guard the person of Your Highness, and grant him every desire.</t>
  </si>
  <si>
    <t>E che piu' poss'io augurar alla grandezza dell'A.V.Serenissima, che in questo tempe lo annuntio felice delle prossime sante feste di Natale __ che il cielo gliele conceda cosi prospere, et liete, come merita, et ch'io humilm[ente] le disidre, et riverente al l'AV m'inchino, e prego ogn'altra meritata felicita'.</t>
  </si>
  <si>
    <t>And what more can I wish for the greatness of Your Most Serene Highness, than at this time to joyfully announce the coming holy Christmas holidays __ that heaven may grant them to you as prosperous and joyful as you deserve, and that I humbly desire them, and reverently bow to Your Highness, and pray for every other deserved happiness.</t>
  </si>
  <si>
    <t>1616/12/20</t>
  </si>
  <si>
    <t>informing MM that Ippolita Bulgherini safely delivered a healthy daughter</t>
  </si>
  <si>
    <t>325r</t>
  </si>
  <si>
    <t>300</t>
  </si>
  <si>
    <t>Capitano</t>
  </si>
  <si>
    <t>Ciogni , Giovanni</t>
  </si>
  <si>
    <t>1617/01/09</t>
  </si>
  <si>
    <t>326r-326v</t>
  </si>
  <si>
    <t>301-302</t>
  </si>
  <si>
    <t>1617/01/14</t>
  </si>
  <si>
    <t>327r</t>
  </si>
  <si>
    <t>303</t>
  </si>
  <si>
    <t>Nell'informationi, che si manderanno costi al Serenissimo Gran Duca mio Signore dei soggetti per la nuova elettione della Balia, il Dottore Cipiano Casolani e' uno delli supplicanti, la servitu' del quale (oltre le sue buone et virtuose qualita') fattami in questa mia malatia per l'accidente, che mi tocco' di gocciola li mesi passati, m'obliga a' rappresentare a VAS il desiderio di lui, che sarebbe di essere honorato, et eletto di Balia dal Serenissimo Gran Duca; m'induco percio' volentieri di supplicare, come Io, humilissimamente l'AVS di favorirlo, e proteggerlo in maniera tale, ch'egli conseguisca per mezzo mio questo honore; Il tutto ricevero' io a' gratia, e favore, restandone non senza singularissima obligatione alla benignita' di VAS, alla quale inchinandomi prego da Nostro Signore il colmo d'ogni compita' felicita, e grandezza.</t>
  </si>
  <si>
    <t>In the information that will be sent here to the Most Serene Grand Duke, my Lord of the subjects for the new election of the Balia, Doctor Cipiano Casolani is one of the supplicants, whose servitude (in addition to his good and virtuous qualities) rendered to me during this illness of mine due to the accident that befell me in the past few months, obliges me to represent to Your Highness his desire, which would be to be honored and elected Balia by the Most Serene Grand Duke. I therefore willingly and humbly beseech Your Highness to favor and protect him in such a way that he obtains this honor through me. I will receive all this with grace and favor, remaining not without a most singular obligation to the benignity of Your Highness, to whom, bowing, I pray from Our Lord the height of all complete happiness and greatness.</t>
  </si>
  <si>
    <t>328r</t>
  </si>
  <si>
    <t>304</t>
  </si>
  <si>
    <t>1617/02/13</t>
  </si>
  <si>
    <t>329r</t>
  </si>
  <si>
    <t>305</t>
  </si>
  <si>
    <t>330r</t>
  </si>
  <si>
    <t>306</t>
  </si>
  <si>
    <t>1617/02/02</t>
  </si>
  <si>
    <t>Agustini, Marcello</t>
  </si>
  <si>
    <t>331r</t>
  </si>
  <si>
    <t>307-308</t>
  </si>
  <si>
    <t>1617/02/28</t>
  </si>
  <si>
    <t>Beaurocrat</t>
  </si>
  <si>
    <t>L'antica divotion mia verso la Casa Serenissima de Medici, et la particolare osservanza, che porto all'invitta persona di VAS, fanno, che arditamente m'induco con ogni debita riverenza d'una gratia, che le esporra il signore Audit__re fiscale presentante di questa, per la quale a' VAS ne rstero' obligato del proprio sangue, pregando in questo mentre Dio benedetto che a' lei conceda ogni bramato, et eroico suo intento, et a' me gratia di essere sempre honorato de' suoi alti comandi; che senza piu' mele inchino, et faccio riverenza</t>
  </si>
  <si>
    <t>My ancient devotion towards the Most Serene House of Medici, and the particular observance that I bear to the invincible person of Your Highness, make me boldly propose, with all due reverence, a favor that the Fiscal Auditor presenting this will present to you, for which I will remain obliged to Your Highness with my own blood, praying in the meantime to blessed God that He grant you every desired and heroic intent, and to me the grace of always being honored by your high commands; that without further ado I bow and make my reverence.</t>
  </si>
  <si>
    <t>1617/03/22</t>
  </si>
  <si>
    <t>332r</t>
  </si>
  <si>
    <t>309</t>
  </si>
  <si>
    <t>Tomasi, Elena Avvedutine</t>
  </si>
  <si>
    <t>333r-334r</t>
  </si>
  <si>
    <t>310-312</t>
  </si>
  <si>
    <t>1617/03/25</t>
  </si>
  <si>
    <t>Se bene da sei anni qua che io restai segregata, dalla compagnia di mi Germanico Tommasi mio Marito, abbia avuto stimolo per il debito naturale che deve la donna, al suo marito, e' per essere di eta' di presente di Anni 25 abbandonata d'ogni auito, sensa Padre o frelli [fratelli] d'ingino chiarmi avanti VASerenissima e' supplichevole, domandar gratia, che per me se suo della sua pieta', mi fusse restituito; ho voluto non dimeno per obbidire alla legge dell'serenissimo nostro signore sopportare per si lungo tempo, continue lacrime, e dolori, onde havendo egli al presente di un Arbitiato confino di dieci anni di carcere fattone piu che la meta, gia che la detta legge, mene da ardire, Genuflessa ricorgho a VA Serenissima supplicand___la come Gran Signora pietosa, riguardando con conpassione lo stato mio, et in tanti patimenti, voglia intercedere, et essero fa___ie ottenga gratia __ adesso, sia per Mutato in Casa di nostra Abitatione, fino tanto che Iddio ci concedi, che VASerenissima venga in questo stato, che allora spero me lo sia per liberare, accio possi doppo tanto tempo, fare questa santissima Pasqua in compagna di mio con__te il quale potria anco co__ il Medicinarsi vedere rienperare la sanita, che a' perduto, per si lungha carcere e levera' anco me quasi di Pugi_me. et verrei di persona a' gettarmi a' piedi di VASerenissima se in questa eta'........ (two more pages)</t>
  </si>
  <si>
    <t>Although for the six years that I have remained segregated here from the company of my husband, Germanico Tommasi, I have been encouraged by the natural debt that a woman owes to her husband, and since I am now 25 years old and abandoned by all help, without a father or brothers to call me to her knees, I supplicate before Her Most Serene Highness, and ask for the grace that, through me, if she has shown me her mercy, she may restore it to me; I have nevertheless wanted to obey the law of our Most Serene Lord to endure for such a long time continuous tears and pain, so that he has at present made more than half of an Arbitration confinement of ten years in prison, since the said law makes it difficult to dare, I kneel down and turn to Your Most Serene Lord, beseeching you as a merciful Great Lady, looking with compassion at my state, and in so many sufferings, to intercede, and to be granted grace. Now, let it be for Changed into the House of our Habitation, until God grants us that Your Most Serene Lord comes into this state, which then I hope will be to free me, so that after such a long time, I can spend this most holy Easter in the company of my count, who could also, with the help of Medicine, see the recovery of his health, which he has lost through such a long prison and will also almost free me from it. Pugi_me. and I would come in person to throw myself at the feet of the Most Serene Lady if in this age............. (two more pages)</t>
  </si>
  <si>
    <t>347r</t>
  </si>
  <si>
    <t>314</t>
  </si>
  <si>
    <t>1617/06/27</t>
  </si>
  <si>
    <t>348r</t>
  </si>
  <si>
    <t>315</t>
  </si>
  <si>
    <t>1617/06/22</t>
  </si>
  <si>
    <t>?, Maddalena</t>
  </si>
  <si>
    <t>1617/07/18</t>
  </si>
  <si>
    <t>316</t>
  </si>
  <si>
    <t>349r</t>
  </si>
  <si>
    <t>350r</t>
  </si>
  <si>
    <t>317</t>
  </si>
  <si>
    <t>1617/11/28</t>
  </si>
  <si>
    <t>351r</t>
  </si>
  <si>
    <t>318</t>
  </si>
  <si>
    <t>Riccardi, Livio</t>
  </si>
  <si>
    <t>352r</t>
  </si>
  <si>
    <t>319</t>
  </si>
  <si>
    <t>1617/12/11</t>
  </si>
  <si>
    <t>353r</t>
  </si>
  <si>
    <t>320</t>
  </si>
  <si>
    <t>354r</t>
  </si>
  <si>
    <t>E che si puo' augure all'AVSerenissima di felicita', che non ne sia di molto piu ben degna? tuttavia nella occasione del santissimo Natale non devo restar di non annuntiarglielo felicissimo, e pieno d'ogni compita Consolatione, et humilmente a VAS m'inchino</t>
  </si>
  <si>
    <t>And what happiness can be wished for Your Most Serene Highness that is not much more worthy? However, on the occasion of the most holy Christmas, I must not fail to announce it to You as most happy, and full of every necessary consolation, and I humbly bow to You.</t>
  </si>
  <si>
    <t>321</t>
  </si>
  <si>
    <t>1617/12/29</t>
  </si>
  <si>
    <t>355r</t>
  </si>
  <si>
    <t>322</t>
  </si>
  <si>
    <t>Dal Serenissimo Granduca mio signore gl'anni adietro son sempre stato honorato d'un de questi ___ Capitanati, ciove Grossetto, Montagna, o' Sin alguna, per il soggetto, ch'ho proposto, desiderando dunque di ricevere il medesimo favore per la prossima distributione da farsi da SAS et per essere tra' gl'altri, che concorrono Il Cav___ Alipra~do __resi uno; soggetto invero nd inferiore ad alcuno, circa le qualita' di sufficienza, ed honore, che per tal gratia si aichiedano; gusto rispetto fa, ch'io m'induco di raccommandarlo riverentemente al favorito patrocinio di VAS per un delli _udetti Capitanati, alla quale professero' quella obligatione, che per me si dovera' singularissimamente connumerando questa gratia fra l'altre tante ricevute. A __ A Ser___ma m'inchino facendole riverenza, che NS le doni il colmo d'ogni sua bramata felicita'</t>
  </si>
  <si>
    <t>In the past years, I have always been honored by the Most Serene Grand Duke, my lord, with one of these Captaincies, namely Grossetto, Montagna, or some other, for the subject I proposed, desiring therefore to receive the same favor for the next distribution to be made by H.S.H. and to be among the others who compete, the Knight Aliprado has become one; a subject indeed inferior to any, regarding the qualities of sufficiency and honor, which are required for such a grace; with great respect, I am induced to reverently recommend it to the favored patronage of H.S.H. for one of the said Captaincies, to which I profess that obligation, which for me will be singularly due, counting this grace among the many others received. To __ A Ser___ma I bow to her, may Our Lord grant her the fullness of all her longed-for happiness.</t>
  </si>
  <si>
    <t>1618/04/03</t>
  </si>
  <si>
    <t>356r</t>
  </si>
  <si>
    <t>323</t>
  </si>
  <si>
    <t>1618/06/23</t>
  </si>
  <si>
    <t>Beaurocrat: Il Rettore e Deputati della Mad__na di Provenzano</t>
  </si>
  <si>
    <t>357r</t>
  </si>
  <si>
    <t>324</t>
  </si>
  <si>
    <t>1618/06/26</t>
  </si>
  <si>
    <t>The signature for her says "indeg.a abb.a" so I think she is possibly the abbess but not totally sure</t>
  </si>
  <si>
    <t>358r</t>
  </si>
  <si>
    <t>325</t>
  </si>
  <si>
    <t>Priore</t>
  </si>
  <si>
    <t>Santi, Aquilo</t>
  </si>
  <si>
    <t>1618/08/14</t>
  </si>
  <si>
    <t>359r</t>
  </si>
  <si>
    <t>326</t>
  </si>
  <si>
    <t>1618/00/10</t>
  </si>
  <si>
    <t>Viarano, Antonio</t>
  </si>
  <si>
    <t>360r</t>
  </si>
  <si>
    <t>327</t>
  </si>
  <si>
    <t>1619/03/22</t>
  </si>
  <si>
    <t xml:space="preserve">Bulgherini, Ipolita Agustini </t>
  </si>
  <si>
    <t>1619/04/01</t>
  </si>
  <si>
    <t>361r</t>
  </si>
  <si>
    <t>328</t>
  </si>
  <si>
    <t>vengo con questa quattro righe a salutarla nel purissimo et amorosissimo cuore di giesu et a rispondare alla sua gratissima di cendole che havevo dato prencipio gia piu tempo a de seguire quello che che (sic) la altezza sua mi ha di presente accennato non mancho di raccommandare la altezze loro e tutti i loro parenti et ancho tutti li bisogni della cristianita con tal fine le faccio humil vivenera con baciarli la vessta suplicando dal nostro di lettissimo sposo giesu che li dia ogni felice suucesso (sic) di siena il di 9 di aprile 1619</t>
  </si>
  <si>
    <t>Colomba</t>
  </si>
  <si>
    <t>I come with these four lines to greet you in the most pure and loving heart of Jesus and to respond to your most grateful request that I had already given you more time to follow what (sic) your highness has now indicated to me. I do not fail to recommend their highnesses and all their relatives and also all the needs of Christianity. With this aim, I wish you a humble farewell by kissing your dress, begging our most beloved spouse Jesus to grant you every happy success (sic) of Siena on the 9th of April 1619.</t>
  </si>
  <si>
    <t>362r</t>
  </si>
  <si>
    <t>329</t>
  </si>
  <si>
    <t>1619/04/09</t>
  </si>
  <si>
    <t>379r</t>
  </si>
  <si>
    <t>332</t>
  </si>
  <si>
    <t>380r</t>
  </si>
  <si>
    <t>333</t>
  </si>
  <si>
    <t>1619/04/23</t>
  </si>
  <si>
    <t>1619/06/20</t>
  </si>
  <si>
    <t>Ruler: Gran Principe e doppo Gran Duca di Toscana</t>
  </si>
  <si>
    <t>381r</t>
  </si>
  <si>
    <t>334</t>
  </si>
  <si>
    <t>Pallagrossa, Pietro</t>
  </si>
  <si>
    <t>382r</t>
  </si>
  <si>
    <t>335</t>
  </si>
  <si>
    <t>383r</t>
  </si>
  <si>
    <t>336</t>
  </si>
  <si>
    <t>Con dovuta reverenza le comparisco avanti con quest righe, rendendole gratie infinite di tanta carita', che dalla benigna, e sua amorevol mano ricevvo, che pur in quelo giorno ho ricevuteli cinque scudi et singularmente resto confuso dalla divina proidenza dicendomi suor Colomba haver VS Ser__ma presa di me protetione il che tutto ricevo dal Sig__re al quale offerisco la terza parte di quel poco che fe per lei come fece fare a' suor Colomba, et dal cui continuam__te s__ preghando l'influsso della divina gratia con tal fine le faccio humil reverenza</t>
  </si>
  <si>
    <t>With due reverence I come before you with these lines, giving you infinite thanks for such great charity that I received from your benign and loving hand, that even on that day I received five scudi and I am singularly confounded by the divine providence telling me that Sister Colomba has taken Your Most Serene protection of me, which I receive entirely from the Lord to whom I offer a third part of the little that he did for you as he had Sister Colomba do, and from whom, continually praying for the influence of divine grace, with this aim I offer you my humble reverence.</t>
  </si>
  <si>
    <t>Leoncini, Rocco</t>
  </si>
  <si>
    <t>1619/06/26</t>
  </si>
  <si>
    <t>384r</t>
  </si>
  <si>
    <t>337</t>
  </si>
  <si>
    <t>Clergy: Padre Confessore a Colomba</t>
  </si>
  <si>
    <t>338-339</t>
  </si>
  <si>
    <t>385r-385v</t>
  </si>
  <si>
    <t>1619/07/07</t>
  </si>
  <si>
    <t>I.H.S.
Ser.ma Arciduchessa
Discorendo piu volte con Suor Colomba, e raccontandoli i pericoli
grandissimi, che ha passati il Re di Boemia, m’ha risposto non essergli
nuova q.llo, che è passato, e che passar deve; Ma con tutto q ne
spera bene, come chiaram.te raccor si puo dalla commessione
datami scriver a V.S. Ser.ma, della cui ne mando la copia
insieme con l’originale. Mi fa grand’instantia di saper
l’esser del Ser.mo nro Gran Duca, et anco di tutte l’Altezze,
et a quelle applica la maggior parte de gl’ esercitii, che fa.
et di core la saluta nel core di Giesu, dal q[ua]le sta pregando
q[ue]lle gratie, che del med.mo resultano in maggior gloria,
come faccio anhor io, et con tal fine insieme con Suor
Colomba le faccio humil e devota reverenza di Siena il dì 8
Luglio 1619
Di VS Ser.ma
Oblig. et humiliss.mo Ser.e
Rocco Leoncini</t>
  </si>
  <si>
    <t>Having spoken several times with Sister Colomba, and recounting the very great dangers that the King of Bohemia has endured, she replied that what has passed and what is to pass is not new to her. But with all this, she hopes for the best, as can be clearly seen from the commission given to me to serve You, of which I am sending a copy together with the original. It makes me very anxious to know the nature of our serene Grand Duke, and also of all His Highnesses, and to them she applies the greater part of the exercises she does and of her heart the salvation in the heart of Jesus, from whom she is praying for those graces, which result in the greater glory of the same, as I also do, and for this purpose, together with Sister Colomba, I offer her humble and devout reverence.</t>
  </si>
  <si>
    <t>386r</t>
  </si>
  <si>
    <t>340</t>
  </si>
  <si>
    <t>1619/07/08</t>
  </si>
  <si>
    <t>387r</t>
  </si>
  <si>
    <t>341</t>
  </si>
  <si>
    <t>1619/07/10</t>
  </si>
  <si>
    <t>Curini, Bartolomeo</t>
  </si>
  <si>
    <t>388r</t>
  </si>
  <si>
    <t>342</t>
  </si>
  <si>
    <t>Benngucci, Flamminio</t>
  </si>
  <si>
    <t>1619/08/19</t>
  </si>
  <si>
    <t>389r</t>
  </si>
  <si>
    <t>343</t>
  </si>
  <si>
    <t>...come havendo comandato a Suor Colomba, che serivesse doppo l'havermi pregato, che no~ hava' voluto scrivere ha scritto questi quattro versi inclusi et di piu le dico, che molto tempo fa m'ha detto quello che in brevissimo tempo deve seguire cioe che haveremo l'Imperatore, suo frello, di presente Re di Boemia, del quale ne spera l'agumento si Santa Chiesa Gl'esercitii suoi tutti sono in dirizzati a questo fine. Con il che e' sto continuamente pregando il colmo d'ogni felicita dal Signore ____ et di nuovo le facedo humilissima et devotissima reverenza</t>
  </si>
  <si>
    <t>...as having commanded Sister Colomba to serve after having begged me, who did not want to write, she wrote these four verses included and I tell her more, that a long time ago she told me what will follow in a very short time, namely that we will have the Emperor, your brother, the present King of Bohemia, from whom he hopes the increase of Holy Church; all his armies are directed to this end. With which I am continually praying for the height of every happiness from the Lord God and again I offer you my most humble and devout reverence.</t>
  </si>
  <si>
    <t>1619/08/20</t>
  </si>
  <si>
    <t>390r</t>
  </si>
  <si>
    <t>344</t>
  </si>
  <si>
    <t>1619/08/26</t>
  </si>
  <si>
    <t>391r</t>
  </si>
  <si>
    <t>345</t>
  </si>
  <si>
    <t>392r</t>
  </si>
  <si>
    <t>346</t>
  </si>
  <si>
    <t>1619/09/09</t>
  </si>
  <si>
    <t>393r</t>
  </si>
  <si>
    <t>347</t>
  </si>
  <si>
    <t>1619/09/10</t>
  </si>
  <si>
    <t>394r</t>
  </si>
  <si>
    <t>1619/09/20</t>
  </si>
  <si>
    <t>348-350</t>
  </si>
  <si>
    <t>?, Alcibiade</t>
  </si>
  <si>
    <t>351</t>
  </si>
  <si>
    <t>395r</t>
  </si>
  <si>
    <t>396r</t>
  </si>
  <si>
    <t>352</t>
  </si>
  <si>
    <t>397r</t>
  </si>
  <si>
    <t>353</t>
  </si>
  <si>
    <t>398r</t>
  </si>
  <si>
    <t>354</t>
  </si>
  <si>
    <t>1619/09/30</t>
  </si>
  <si>
    <t>399r</t>
  </si>
  <si>
    <t>355</t>
  </si>
  <si>
    <t>1619/10/20</t>
  </si>
  <si>
    <t>419r</t>
  </si>
  <si>
    <t>361</t>
  </si>
  <si>
    <t>1619/10/28</t>
  </si>
  <si>
    <t>420r</t>
  </si>
  <si>
    <t>362</t>
  </si>
  <si>
    <t>Guglio</t>
  </si>
  <si>
    <t>Priori e rappresentanti dela comunita di Giglio</t>
  </si>
  <si>
    <t>1619/11/03</t>
  </si>
  <si>
    <t>vengo asalutarla nel cuora del mio p__lissimo sposo giesu et ancho a dirli come e vaguato a benefisio qua vicino alla citta visi_na come l'altezza loro sanno hora et sua apovano(?) sacendote et e a quasi ed nuo vivio merita vola a ogni bene et io prego tutte la[l]tezza loro a far li questa carita di darli tal benefitio so dicento che dio ne restare honorato di gnatia non manchi et esso sacerdote non mancara mai ne sacrefissi di pregare per l'agumento di sua altezza gen______ la prego perche nella santa chiesa cie bisongno [sic] di tal persona timorate di dio e questa sara di quella carita che sanno avanti altrono della santissima trinita con desiderio quanto posso d ogni sua filicita [felicita] circha poi alle cose del nostro i peratore(?) vado senpre agumenteando e loratione et ancho el mio padre confessore ne pr__cha bernandino paiorani el quale evenuto a portarla lui in persona e con quella maggiore riverenza prostata li faccio humilmente li bacio la vesta obligatissima serva di sua altezza el di 8 di novembre 1619</t>
  </si>
  <si>
    <t>I come to greet you in the heart of my most holy husband Jesus and also to tell you how you have been able to benefit here near the city of Vis_ina as your highness knows now and your love(?) as a priest and that almost and new life deserves fly to every good and I pray all your highnesses to do this charity to give you such a benefit I know that God will not fail to honor you with his grace and this priest will never fail to pray for the increase of his highness I pray you because in the holy church we need such a God-fearing person and this will be of that charity that they know before anything else of the Holy Trinity with desire as much as I can for all his filiation [happiness] regarding the things of our worker(?) I am always increasing and praying and also my father confessor prays for it bernandino pareorani who came to bring it in person and with the greatest reverence I humbly kiss the robe, most obligated servant of his highness on the 8th of November 1619</t>
  </si>
  <si>
    <t>421r</t>
  </si>
  <si>
    <t>1619/11/08</t>
  </si>
  <si>
    <t>422r</t>
  </si>
  <si>
    <t>1619/11/26</t>
  </si>
  <si>
    <t>423r</t>
  </si>
  <si>
    <t>363</t>
  </si>
  <si>
    <t>364</t>
  </si>
  <si>
    <t>1619/12/16</t>
  </si>
  <si>
    <t>365-366</t>
  </si>
  <si>
    <t>1619/12/21</t>
  </si>
  <si>
    <t>di Lisabetta, Lucretia</t>
  </si>
  <si>
    <t>424r-424v</t>
  </si>
  <si>
    <t>367-368</t>
  </si>
  <si>
    <t>M'ha pregato Suor Colomba, ch'io suplicasse VA Ser_ma a voler restar servita di farle intendere, come passino le cose dell'Imperio, e brama saper qualche particulare si come anco intorno alla sanita e dispositione del nostro Ser__mo G. Duca. Se si compiace VAS vorrebbe scriver quattro righe all'Imperatore. Si continua con agumento negi essercitii et ne spera alla fine buon'effetto, et dandole le buone feste le fa humil reverenza. Et le suplico dall'Altissimo il colmo d'ogni lor maggior felicita, et le faccio humil e devota reverenza</t>
  </si>
  <si>
    <t>Sister Colomba has asked me to beg Your Majesty to remain at your service and to let her know how the affairs of the Empire are progressing, and she wishes to know some details, including the health and disposition of our Most Serene Lord Duke. If it pleases Your Majesty, she would like to write a few lines to the Emperor. She continues with her efforts and hopes for a good outcome, and, wishing you happy holidays, offers you her humble reverence. And I beg you from the Most High the height of their greatest happiness, and offer you my humble and devout reverence.</t>
  </si>
  <si>
    <t>425r</t>
  </si>
  <si>
    <t>369</t>
  </si>
  <si>
    <t>1619/12/24</t>
  </si>
  <si>
    <t>426r</t>
  </si>
  <si>
    <t>370</t>
  </si>
  <si>
    <t>1620/02/23</t>
  </si>
  <si>
    <t>427r</t>
  </si>
  <si>
    <t>371</t>
  </si>
  <si>
    <t>?, Alessandro</t>
  </si>
  <si>
    <t>Clergy: Arcivescovo di Siena</t>
  </si>
  <si>
    <t>1620/02/24</t>
  </si>
  <si>
    <t>428r</t>
  </si>
  <si>
    <t>372</t>
  </si>
  <si>
    <t>1620/03/03</t>
  </si>
  <si>
    <t>1620/03/28</t>
  </si>
  <si>
    <t>429r</t>
  </si>
  <si>
    <t>373</t>
  </si>
  <si>
    <t>Gellio, Austino</t>
  </si>
  <si>
    <t>Ruler: Principessa</t>
  </si>
  <si>
    <t>430r</t>
  </si>
  <si>
    <t>374</t>
  </si>
  <si>
    <t>1620/04/04</t>
  </si>
  <si>
    <t>431r</t>
  </si>
  <si>
    <t>375</t>
  </si>
  <si>
    <t>1620/04/14</t>
  </si>
  <si>
    <t>376</t>
  </si>
  <si>
    <t>432r</t>
  </si>
  <si>
    <t>Vecchi, Virgilio</t>
  </si>
  <si>
    <t>433r</t>
  </si>
  <si>
    <t>377</t>
  </si>
  <si>
    <t>1620/04/18</t>
  </si>
  <si>
    <t>434r</t>
  </si>
  <si>
    <t>378</t>
  </si>
  <si>
    <t>1620/05/18</t>
  </si>
  <si>
    <t>la gratia del mio dolcissimo giesu sia sempre con l'altezza sua serenissima sentendo molta varieta circa le nuove che vengono di ale magna haverei caro saper la semprice [semplice] verita come passino li negoti delli imperio ma non vorrei che si affatigasse (?) sua alltezza serenissima bastera solo se li piace che imponghi a quale che duro che faccia un verso al mio padre confessore che la havero caro prego giesu mio dolce amore che li doni quella maggior felicita che resulta in maggior gloria sua si circa li negoti delli imperio come ancho per la sanita del nostro serenissimo gran duca et di tutte la altezza loro et con debita reverenza le bacio la veste et me le ricordo obligatissima del nostro monasterio. di campanri [campagnia] si siena il di 18 (?) di maggio 1620</t>
  </si>
  <si>
    <t>May the grace of my sweetest Jesus always be with Her Serene Highness. Hearing so much variety about the news that comes from the great, I would be pleased to know the simple truth about how the affairs of the empire are going, but I would not want him to tire himself (?). Her Serene Highness will only need, if she likes, to impose on anyone who is hard to make a verse to my father confessor, who will hold it dear. I pray to Jesus, my sweet love, that he grant you that greater happiness which results in greater glory for himself, both about the affairs of the empire as well as for the health of our most serene grand duke and of all their highnesses, and with due reverence I kiss your robe and remember you, most obliged to our monastery. of campanri [campagnia] is Siena on the 18th (?) of May 1620</t>
  </si>
  <si>
    <t>435r</t>
  </si>
  <si>
    <t>1620/05/25</t>
  </si>
  <si>
    <t>Sozzini, Camilla</t>
  </si>
  <si>
    <t>before this is niceties; here is the end of the letter starting here:
della qual mostrando a VA un piccolo segno il Signor Alessandro Piccolomini onoratissimo Collega, et Imbasciator nostro al Ser.mo Gran Duca, si degni darle quella fede che darebbe a tutto il collegio; credendo che ogni sua piu viva attestazione, tanto sara' sempre minor del sentimento nostro, quanto della generosita' di VA alla quale reverentemente inchinandoci preghiamo dalla divina mano larga ricompensa de suoi doni</t>
  </si>
  <si>
    <t>...of which, showing Your Highness a small token, Mr. Alessandro Piccolomini, our most honored Colleague and Ambassador to the Most Serene Grand Duke, deigns to give you the same faith that he would give to the entire college; believing that any more lively attestation from him will always be less than our sentiment, as well as the generosity of Your Highness to whom, bowing reverently, we pray from the divine hand a generous reward for his gifts.</t>
  </si>
  <si>
    <t>1620/06/21</t>
  </si>
  <si>
    <t>436r</t>
  </si>
  <si>
    <t>380</t>
  </si>
  <si>
    <t>437r</t>
  </si>
  <si>
    <t>381</t>
  </si>
  <si>
    <t>Ser.ma Sig.ra
Col favore che VA mi fece de la lettiga arrivai hier mattina riposatam.te. l'indisposizione di mio figluiolo non e' grave ma perche potrebbe andare in lungo qualche giorno mi son resoluto di rimandar domattina la lettiga, sperando che VA me ne tornera a favorire quando saro sbrigato di qua da potermi mettere in camino. Mi ricordero di far dire a Suor Colomba che preghi Dio per le Alt. V.re, come lo suplico anch'io che le guardi lunghiss.mi anni, et a VA fo la mia delita riverenza. Di Siena a 25 di Giug. 1620
V Alt. Ser.ma
Humiliss. e devot.mo servo
Orso d'Elci</t>
  </si>
  <si>
    <t>With the favor that Your Majesty did me with the litter, I arrived yesterday morning rested. My son's indisposition is not a serious one, but since it could last a few days, I have decided to send the litter back tomorrow morning, hoping that Your Majesty will return to help me when I am sufficiently prepared to set out on my journey. I will remember to have Sister Colomba pray for Your Highnesses, just as I also beg Him to look after you for many years to come. And to Your Majesty, I offer my deepest reverence.</t>
  </si>
  <si>
    <t>438r</t>
  </si>
  <si>
    <t>382</t>
  </si>
  <si>
    <t>1620/06/25</t>
  </si>
  <si>
    <t>439r</t>
  </si>
  <si>
    <t>383</t>
  </si>
  <si>
    <t>Dionigi, Cintia</t>
  </si>
  <si>
    <t>1620/07/05</t>
  </si>
  <si>
    <t>460r</t>
  </si>
  <si>
    <t>386</t>
  </si>
  <si>
    <t>Le mando la cedula ove Suor Colomba m'impone quanto devo scrivere a VA Ser__ma et l'assicuro che non si mancha di continuar l'orationi et desidera haver nuova dell' esser del nostro Ser__mo Gran Duca..............[formal sign off]</t>
  </si>
  <si>
    <t>I am sending you the letter where Sister Colomba tells me what I have to write to Your Excellency the Grand Duke and I assure you that I will not fail to continue the prayers and I wish to have news of the existence of our Most Serene Grand Duke..............[formal sign off]</t>
  </si>
  <si>
    <t>1620/07/15</t>
  </si>
  <si>
    <t>aspetto gia molti giorni haver nuova dellessar_ del nostro serenissimo gran duca et non sento cosa alcuna serenissima signora la carita che sempre ha havuto verso di me particularissimamente mi da ardire che io la venga con questa mia a supplicare che voglia farmi gratia di haver la parrochia di san salvadore qui in siena per il mio padre confessone quale e dottore di molti meriti et io le vivo obligatissima signore cavaliere san galletti perche il parrochiano di detta parrochia sta male et quando non morisse la supplico da impeteranla prima volta che vachera la dimando per carita et per la man di dio a vostra altezza serenissima __ la supplico con tutto il core [cuore] baciando la vesto le sto pregando dal dolcissimo mio sposo giesu quanto desidera et proseguo quanto altre volte gliho scritto di siena del nostro monasterio di campanri il di 20 di luglio 1620</t>
  </si>
  <si>
    <t>I have been waiting for many days to hear of the news of our most serene Grand Duke and I do not hear anything, most serene lady, the charity that you have always had towards me in particular gives me the courage to come with this letter of mine to beg you to do me the favor of having the parish of San Salvador here in Siena for my father confessor who is a doctor of many merits and I live most obligated to you, Sir Knight San Galletti because the parishioner of said parish is ill and if he does not die I beg you to implore the first time I go I ask it for charity and by the hand of God to your most serene highness __ I beg you with all my heart [heart] kissing the dress I am begging you from my most sweet husband Jesus what you desire and I continue what I have written to you on other occasions from Siena of our monastery of Campanri on the 20th of July 1620</t>
  </si>
  <si>
    <t>461r</t>
  </si>
  <si>
    <t>387</t>
  </si>
  <si>
    <t>1620/07/20</t>
  </si>
  <si>
    <t>462r</t>
  </si>
  <si>
    <t>388</t>
  </si>
  <si>
    <t>1620/07/31</t>
  </si>
  <si>
    <t>Ser.ma Arciduchessa
Suor Colomba ha saputo l'accidente del n.ro Ser.mo Gran Duca del di 3 et 4 del presente, e non ha manchato far quanto ha saputo, p[er] impetrar dal Sig.re la sua maggior gloria. Desidera adesso saper lo stato nel qual si ritrova, et anco come camminino le cose dell'Imperio. Et io ricordandomele le obblig.mo suddito le faccio humil, et devota reverenza, et le sto ne miei sacrificiii suplicando dal n.ro Sig.re la vera felicita de i suoi santissimi desiderii. di Siena il di xi. Agosto 1620
DVA Ser.ma
Oblig.mo et Devotiss.mo suddito
Rocco Leoncini</t>
  </si>
  <si>
    <t>Sister Colomba learned of the accident of our Most Serene Grand Duke on the 3rd and 4th of this month, and she did everything she could to implore his greater glory from the Lord. She now wishes to know the state he finds himself in, and also how affairs of the Empire are progressing. And I, remembering them, oblige her.</t>
  </si>
  <si>
    <t>463r</t>
  </si>
  <si>
    <t>389</t>
  </si>
  <si>
    <t>1620/08/11</t>
  </si>
  <si>
    <t>464r</t>
  </si>
  <si>
    <t>390</t>
  </si>
  <si>
    <t>1620/08/18</t>
  </si>
  <si>
    <t>Suor Colomba m'ha accennato, che scriva, et supplichi VAS, che voglia restar compiaciuta farle gratia di darle saper l'esser del nostro Ser Gran Duca, et cio brama di vivo cuore................</t>
  </si>
  <si>
    <t>Sister Colomba told me to write and beg Your Highness to be pleased to let her know the fate of our Lord the Grand Duke, and she desires this with all her heart.
Written on August 18, so this is about his accident</t>
  </si>
  <si>
    <t>1620/09/08</t>
  </si>
  <si>
    <t>465r</t>
  </si>
  <si>
    <t>391</t>
  </si>
  <si>
    <t>Subito ricevuta la gratissima di SAS le diedi una lettura alla presenza di Suor Colomba, qual mostro molte allegrezza et m'ha accennato, che per parte sua le faccia humilissima reverenza, et di core la saluti.
Se fusse in piacer di SAS haveria caro, che non indirizzasse direttamente il ritratto del Ser.mo Gran Duca a' Suor Colomba con suplicarle dall'Altissimo Signore l'adempimento de suoi santissimi desiderii ......................</t>
  </si>
  <si>
    <t>Immediately upon receiving Her Highness's most grateful letter, I read it in the presence of Sister Colomba, who expressed great joy and indicated to me that she, on her part, should offer her most humble reverence and send her heartfelt greetings.
If it were Her Highness's pleasure, I would be pleased if she did not address the portrait of the Most Serene Grand Duke directly to Sister Colomba, begging the Most High Lord to fulfill her most holy wishes.........</t>
  </si>
  <si>
    <t>….a giorni passati si mandai al mio padre confessore come sta__a quel preta rettore di san salvadore et gli mi rispose che non sapeva niente ma io ho saputo che dicano i medici che non puo campare gran tempo per haver dato in una infirmita in curabile pero vengo di nuovo a suplicare sua altezza serenissima che non voglia per amore del mio dolcissimo sposo giesu manchar far mi questa gratia di far si che il signore cavalieri san galletti per via di strumento le __itimo dia adesso la voce al mio padre confessore per doppo la morte del pr____ rettore perche son piu sicura che il demonio li farebbe haver grandissime di ffi_ulta et le creature molte volte sotto protesto di bene sono ingannate et io lo so pero la suplico a voler non manchar farmi carita di mandarmi detta voce in publico str[u]mento fatto far da detto signior cavalier san galletti et non li paia spiacevole per amor di dio che a lei none gran cosa [casa o cosa?] la stimo grandissima mi facci questa carita che piu non la n__ro per questo effetto et lo faccia portarmelo per mano di qualche ministro accio non la sappia il mio padre confessore perche haverebbe a male et direbbe che non si conviene tratt_r cosi con ua altezza serenissima che mostro non haver confidenza in lei et che io la infastidisco ma faccia mi questa gratia perche cosi vuole il signiora idio sappia che non penso di havere a campar longo tempo et il mio padre confessore per me ha perso molte buone occasioni la suplico a perdonarmi se troppo e grande il mio ardire prostrata humilmente la bacio la veste et le suplico dal mio dolcissimo sposo giesu quanto ha gusto per sua maggior gloria del nostro monasterio di san girolamo in campanre di di siena il di 15 di settembre 1620</t>
  </si>
  <si>
    <t>A few days ago I sent to my father confessor how that priest rector of San Salvador is doing and he replied that he didn't know anything but I have heard that the doctors say that he won't be able to live long because he has an incurable illness so I come again to beg her most serene highness not to want for the love of my sweetest husband Jesus to fail to do me this favor of making sure that the lord Cavalieri San Galletti through a public instrument now gives the voice to my father confessor after the death of the pre-rector because I am more sure that the devil would make them have very great difficulties and creatures are often deceived under the guise of doing good and I know it but I beg you not to fail to do me the charity of sending me said voice in a public instrument made by the said lord Cavalieri San Galletti and don't let it seem unpleasant to you for the love of God that to you it is no great thing. I esteem you very highly. Do me this favor so that I no longer have it for this purpose and have it brought to me by the hand of some minister so that my father confessor does not know it because he would be offended and would say that it is not appropriate to treat such a serene highness in this way who shows that I do not have confidence in you and that I annoy you. But do me this favor because this is what the lord wants. God knows that I do not think I will live long and my father confessor has missed many good opportunities for me. I beg you to forgive me if my daring is too great. Prostrate, humbly, I kiss your dress and I beg you from my sweetest spouse Jesus as much as you like for his greater glory of our monastery of San Girolamo in Campanre di di Siena on the 15th of September 1620.</t>
  </si>
  <si>
    <t>466r</t>
  </si>
  <si>
    <t>392</t>
  </si>
  <si>
    <t>1620/09/15</t>
  </si>
  <si>
    <t>I think this line is really interesting. This part says something close to: "God knows that I do not think I will live long and my father confessor has missed many good opportunities for me" and the long sentence before indicates her father confessor (Rocco, I assume) doesn't want her pestering MM so she is writing behind his back</t>
  </si>
  <si>
    <t>Ciruzi, Livia</t>
  </si>
  <si>
    <t>1620/09/27</t>
  </si>
  <si>
    <t>467r</t>
  </si>
  <si>
    <t>393</t>
  </si>
  <si>
    <t>468r</t>
  </si>
  <si>
    <t>394</t>
  </si>
  <si>
    <t>1620/09/29</t>
  </si>
  <si>
    <t>Taneredi, Scipion'</t>
  </si>
  <si>
    <t>469r</t>
  </si>
  <si>
    <t>395</t>
  </si>
  <si>
    <t>1620/10/21</t>
  </si>
  <si>
    <t>Ho differito lo scriver a VAS perche sono stato aspettando di giorno in giorno che Suor Colomba in fonformita del desiderio che teneva scrivesse ma per l'impedimento del male a pena ha scritto la reclusa cedula. Desidera saper come sta VAS et anco il nostro Serenissimo Gran Duca, et come succedino le cose dell'Imperio. Non si manca di continuare l'orationi per le predette cose et secondo la sua intentione. Con farle devota, et humil reverenza le suplico dall' Aleiss___o Signore felicissimo successo de suoi santissimi desiderii</t>
  </si>
  <si>
    <t>I have postponed writing to Your Excellency because I have been waiting day after day for Sister Colomba to write in accordance with your wish, but due to illness, the recluse has barely written. She wishes to know how Your Excellency is doing, as well as our Most Serene Grand Duke, and how things are going in the Empire. I will continue my prayers for the aforementioned matters and according to your intention. With devout and humble reverence, I beg you from the Most Holy Lord, the most happy success of your most holy wishes.</t>
  </si>
  <si>
    <t>470r</t>
  </si>
  <si>
    <t>396</t>
  </si>
  <si>
    <t>1620/11/02</t>
  </si>
  <si>
    <t>Questa mattina avanti la santissima communione Suor Colomba mi porse questa inclusa cedula. Ha rese gratia della vittoria riportata per l'Imperio, et non cessa (ce sta?) continuoare nuovi essercitii; et spera maggior felicita' per l'Altezze saluta S. A. Ser.ma e dal Sig.re le sta suplicando il felicissimo successo de suoi santissimi desiderii, il simil faccio io, et humil, e reverentemente prostrato bacio le vesti di SAS.</t>
  </si>
  <si>
    <t>This morning, before Holy Communion, Sister Colomba presented me with this enclosed certificate. She expressed gratitude for the victory won for the Empire, and there is no need to continue further efforts. She hopes for greater happiness for Your Highnesses. She greets His Most Serene Highness and is begging you from the Lord for the most happy success of your most holy wishes. I do the same, and, humbly and reverently, I kiss the robes of His Highness.</t>
  </si>
  <si>
    <t>la gratia del dolce mio sposo giesu sia sempre con vostra altezza serenissima ho inteso dalla lettera del mio padre confessore la confirma di quanto ho inteso circa la sanita del nostro serenissimo gran duca et della cosa delli emperio che sia lo dato sempre il mio amorosissimo sposo che dispone suavemente tutte le cose nel qual confidando mai restiamo ingennati go husto che il serenissimo gran duca freguenti assai li santissimi sacramenti e una buonissima medicina supplico vostra altezza che voglia scrivere al nostro monasterio et monache due versi dicendo che vostra altezza ha assaissima gusto che le ma___i ritenghino il padre [Rocco] leoncino per lor confessore che quando il prelato __trattasse volerlo mutare che la prelata ne scriva a vostra altezza et non si ma ra___li che io tanto la laffatighi perche non posso fan senza questo padre se vedo che il __monio ne ha in vidia et va _entando qualche persona per interesacio et cose che non stanno bene mi creda serenissima arciduchessa che e necessario mi faccia questa gratia accio questi quattro giorni che ho avivare possa con quiete servire il mio dolce giesu et da lui chiedo tutte le gratie per vostra altezza et per la sua intentione et humilmente prostrata le faccio humilissima reverenza con baciarle la veste del nostro monasterio di san girolamo in campanri di siena il di 2 novembre 1620</t>
  </si>
  <si>
    <t>May the grace of my sweet husband Jesus always be with your most serene highness. I have understood from the letter of my father confessor the confirmation of what I have understood about the health of our most serene grand duke and about the affairs of the empire. May it always be given to my most loving husband who sweetly arranges all things in which we never remain uninformed. I hope that the most serene grand duke frequents the most holy sacraments often and a very good medicine. I beg your highness to write to our monastery and nuns two verses saying that your highness is very pleased that the nuns retain Father [Rocco] Leoncino as their confessor. That when the prelate wants to change him, that the prelate writes to your highness and does not mind that I tire her so much because I cannot do without this father if I see that the monsignor is envious of him and goes to some person for interests and things that are not good for me. Believe, Most Serene Archduchess, that it is necessary for you to grant me this grace so that during these four days that I have to live I can serve my sweet Jesus in peace and from him I ask all the graces for your highness and for his intention and humbly prostrate I make you my most humble reverence by kissing the robe of our monastery of San Girolamo in Campanri di Siena on the 2nd of November 1620</t>
  </si>
  <si>
    <t>471r</t>
  </si>
  <si>
    <t>397</t>
  </si>
  <si>
    <t>Cap.o</t>
  </si>
  <si>
    <t>Ipoliti Guidotti. Catarina</t>
  </si>
  <si>
    <t>1621/12/18</t>
  </si>
  <si>
    <t>524r</t>
  </si>
  <si>
    <t>2</t>
  </si>
  <si>
    <t>525r</t>
  </si>
  <si>
    <t>3</t>
  </si>
  <si>
    <t>la gratia del dolce bambino giesu sia sempre con sua altezza serenissima le sto pregando le santissime feste et perche e tempo di carita vengo con questa mia asupplicarla voglia far si che il canonicato chi vaca adesso e forsi fino ad hora sara vacato in san gimignano sia del mio padre confessore come li promessereno li canonci d__anove mesi fa quando sua altezza serenissima li s_isse giesu dolce bambino sia sempre nel suo cuore et a media gratia di servirlo da vero prostrata le bacio la veste et le supplico dal medesimo bambino la dolce rugiada di tutte le gratie del nostro monasterio di san girolamo in campanri di siena il di 20 dicembre (looks like december but the text is a correction scribbled over something else, so I'm not 100% sure) 1621</t>
  </si>
  <si>
    <t>May the grace of the sweet child Jesus always be with Your Serene Highness. I am praying for the most holy feasts and because it is a time of charity I come with this request of mine to ask you to ensure that the canonry which is vacant now and perhaps will be vacant until now in San Gimignano belongs to my father confessor as the canons promised him nine months ago when Your Serene Highness sat there. May the sweet child Jesus always be in your heart and as a medium grace to serve him truly, prostrate, I kiss your dress and I beg you from the same child the sweet dew of all the graces of our monastery of San Girolamo in Campanri di Siena on December 20 1621</t>
  </si>
  <si>
    <t>1621/12/20</t>
  </si>
  <si>
    <t>543r</t>
  </si>
  <si>
    <t>1622/05/15</t>
  </si>
  <si>
    <t>544r</t>
  </si>
  <si>
    <t>1622/05/23</t>
  </si>
  <si>
    <t>ho ricevuta la sua gratissima et non manco ne mancharo render gratia al mio dolcissimo sposo della vittorie riportate con[t]ro il palantino e non restero di nuovo pregar il mio sommo bene che vada prosperando, la maesta cesaria per maggior gloria di dio si riceve quela carita delli di dieci (?) scudi e se li diede effetto per honor di dio estaro pregando il mio dolce e diletto amore che le ne renda il merito in questa vita et nell'altra vita et non mancho ricordarmi di lei come gli ho promesso e la mo di cordialissimo affetto et inparticulare nella piu secrete mie oratione prostrata con dovuta reverenza le bacio la veste et le sto pregando dal signiore felice successo de suoi santi pensieri</t>
  </si>
  <si>
    <t>I have received your most grateful and I will not fail to thank my sweetest husband for the victories gained against the Palatine and I will not stop praying again to my highest good that he may prosper, the Caesarian Majesty for the greater glory of God receives that charity of ten (?) scudi and if it was put into effect for the honor of God I will be praying my sweet and beloved love that he give you the merit in this life and in the next life and I will not fail to remember you as I promised you and I am with most cordial affection and in particular in my most secret prayers prostrate with due reverence I kiss your dress and I am praying from the Lord happy success of your holy thoughts</t>
  </si>
  <si>
    <t>This is the very last letter from Rocco in this folder, but there should be about 19-20 more from Colomba after this</t>
  </si>
  <si>
    <t>545r</t>
  </si>
  <si>
    <t>1622/05/26</t>
  </si>
  <si>
    <t>546r</t>
  </si>
  <si>
    <t>Avarna, Mario</t>
  </si>
  <si>
    <t>1622/05/25</t>
  </si>
  <si>
    <t>547r</t>
  </si>
  <si>
    <t>Bronacursi, Jacopo</t>
  </si>
  <si>
    <t>1622/06/19</t>
  </si>
  <si>
    <t>548r</t>
  </si>
  <si>
    <t>1622/06/21</t>
  </si>
  <si>
    <t>549r</t>
  </si>
  <si>
    <t>Bosti, Angelo</t>
  </si>
  <si>
    <t>1622/07/10</t>
  </si>
  <si>
    <t>550r</t>
  </si>
  <si>
    <t>1622/07/14</t>
  </si>
  <si>
    <t>560r</t>
  </si>
  <si>
    <t>1622/07/20</t>
  </si>
  <si>
    <t>Colomba wants to transfer to a stricter Florentine convent bc some nuns are being mean to her; also she thinks her father confessor is deliberately being taken from her, but I thought she, MM, and Rocco all worked together to get him a promotion like two seconds ago?</t>
  </si>
  <si>
    <t>May the sweet grace of Jesus, my beloved spouse, always be with your most serene Highness. I long to hear news of the affairs of His Imperial Majesty (Ferdinand II, I think), although I believe things are going well and I trust that they will proceed with the glory of Jesus.
I wanted to wait until your most serene Highness came here and tell you the graces I hope to obtain from you, but I have decided to let you know something that will seem unreasonable and perhaps not very religious, which is that I beg you, for the love of Jesus, to obtain for me the grace from His Holiness to leave this monastery and enter one stricter and more secluded in Florence. I know it will seem to you that I am frivolous and that I am fleeing mortification, but my dear serene Highness, I know my own affairs well. I see so much malice against me in wanting to deprive me of my confessor, even of my chaplain, to please those two nuns whom the Monsignor has given penance to. He would be astonished, I believe, that they consider me simple and say that I don't know and don't understand, but I know those people who inflict so much unjust persecution so well that if I knew all other things as well, how fortunate I would be! My dear serene Highness, do not believe that I am telling you anything against him, because I will make you understand, and what I will tell you is because they have accused me. May my sweet spouse Jesus be praised. Think about this, and it has happened several times, and if you knew how maliciously they contrive their inventions, which seem like the truth itself, you would be astonished. Forgive me for the excessive trouble and fatigue I give you, my dear serene Highness. You know that there is no one else but you, and I trust in you. I hope to obtain the grace I ask of you, and I will always pray that my beloved Jesus, at whose feet I kiss your garment, and I pray to Jesus for all the happiness you desire for the glory of my sweet spouse Jesus. From our monastery of San Girolamo in Campansi, Siena, August 2, 1622.</t>
  </si>
  <si>
    <t>It looks like I *had* one but pasted another comment over it</t>
  </si>
  <si>
    <t>561r</t>
  </si>
  <si>
    <t>1622/08/02</t>
  </si>
  <si>
    <t>562r</t>
  </si>
  <si>
    <t>1622/00/15</t>
  </si>
  <si>
    <t>563r</t>
  </si>
  <si>
    <t>1622/08/16</t>
  </si>
  <si>
    <t>1622/08/20</t>
  </si>
  <si>
    <t>Grosseto</t>
  </si>
  <si>
    <t>?, Laura</t>
  </si>
  <si>
    <t>Clergy: Suor e Ministra in degna del monast[erio] di sa[n]ta chiara di grosseto</t>
  </si>
  <si>
    <t>564r-564v</t>
  </si>
  <si>
    <t>Malvezzi, Fran[cesc]o Perro</t>
  </si>
  <si>
    <t>565r</t>
  </si>
  <si>
    <t>?, Bartolomeo</t>
  </si>
  <si>
    <t>566r-566v</t>
  </si>
  <si>
    <t>1622/10/22</t>
  </si>
  <si>
    <t>567r</t>
  </si>
  <si>
    <t>1622/11/02</t>
  </si>
  <si>
    <t>Pierfranc[esco] Pieri ____ to plural Serenissime Altezze</t>
  </si>
  <si>
    <t>?, Pierfran[cesc]o Pieri</t>
  </si>
  <si>
    <t>568r</t>
  </si>
  <si>
    <t>1622/12/05</t>
  </si>
  <si>
    <t>Cini, Gi___</t>
  </si>
  <si>
    <t>569r</t>
  </si>
  <si>
    <t>1622/12/23</t>
  </si>
  <si>
    <t>la gratia di giesu sia sempre con vosigniora lessi la gratissima sua et la ringratio che conservi memoria di me miserabile peccatora la prego a favorire appresso la mia serenissima arciduchessa miser flavio a tinelli fratello del medico del nostro monasterio per essar persona da bene et merite voli pero ove puole la prego a favorirlo se pero sia il caso per l'offisio che pretende in dogana di siena che di questo ne havera l'informasione et me le ricordo obligatissima dica per me una salve regina alla santissima nuntiata et io pregaro per lei che giesu venga a nascere nel suo cuore et le do le duone feste del nostro monasterio di san girolamo in campanri di siena il 23 dicembre 1622</t>
  </si>
  <si>
    <t>May the grace of Jesus be always with you, I read your most grateful letter and I thank you for keeping the memory of me, a miserable sinner. I beg you to favor my most serene archduchess, Mister Flavio a Tinelli, brother of the doctor of our monastery, because he is a good and worthy person. However, wherever you can, I beg you to favor him if it is the case for the office that you require at the customs of Siena, which will have information about this, and I remind you, most obliged, to say for me a Hail Queen to the most holy nuntiata and I pray for you that Jesus comes to be born in your heart and I give you the two feasts of our monastery of San Girolamo in Campanri of Siena on December 23, 1622.</t>
  </si>
  <si>
    <t>570r</t>
  </si>
  <si>
    <t>1622/12/16</t>
  </si>
  <si>
    <t>la gratia del mio diletissimo sposo giesu sia sempre con lei accio li dia un lume straordinario di non far mai cosa che dispiaccia alocchi purissimi del dolcissimo giesu serenisima mia cara veramente me carissima come cara cara esuiceratissima madre cosi la tengo per lla quan carita et amore che mia portato non posarei mai se prima non pregase la divina et santissima trinita per tutti li suoi negosi nel miglior modo che giesu mi spira li dico di nuovo che fatto le feste del santissimo natale di serivare a vero molto contento parla con lei con la penna poi chi non la posso godere piu da presso sia sempre la udato il nostro dolce giesu li vengo adire ricordare quelle fanciulle che faci la suplica una era del nostro ortolano elatre e nipote d'una servigiale lei mi disse chi le andase a san giorgio quando era il tempo divenire le fanciulle a firenza ho mandato a quei padri di san giorgio a intendare mano mandato a dire che le supliche venano di costa quelle che anno elete di darli la carita siche bisognia che sia lei che dica cioe facci scrivare due versi al mio padre confessore e che li porti a padri di san giorgio mandi a dire sua altezza che sia me nata la nipote del nostro ortolano che ha piu tempo e una altra volta quel a[l]tra fanciulla per questa volta una cioe la prima mi facci questa gratia di mandarli due versi al mio padre confessore si porta tanto bene con tanta diligentia e dilicateza di spirito mi viene a sacramentare e confessare li dico certo serenissima mia cara cara par che certe volte a ba(?) lo spirito profetico vesto estupe fatta dentro dime contanto spirito si ricorda di quando sua altezza serenissima lo grido si porta molto bene alla sua parochia ci va molta gente a confessarsi a lui io lo caro che tiri ina[n]zi la'anime nel serviscio di dio serenissima mia cara cara questi giorni del santissimo natale vorrei che fusemo insieme lei et io al santo presepio a rimirar giesu e consideralo e risguardarlo conafetti cordialissimi e pregarlo con lacrime che non si voglia partire mai da nostri cuori per maggior gloria sua e salte nostra prostra con dovota reverenza le bacio la veste con pregare il dolce mio sposo giesu il colmo di tutte le gratie e di tutta la casa sua le racomando il portatore di questa le conceda la gratia che le domanda e un povar genti lo homo et di bonisimo spirito.... 16 dicembre 1622....</t>
  </si>
  <si>
    <t>May the grace of my most beloved spouse Jesus always be with you, so that He may give you extraordinary light never to do anything that displeases the purest eyes of the sweetest Jesus, my most serene and truly dearest, most beloved mother, I hold you so dear because of the charity and love you have shown me. I would never rest until I had first prayed to the divine and most holy Trinity for all your affairs in the best way that Jesus inspires me. I tell you again that after the festivities of the most holy Christmas, I will write to you, very happy to speak with you with the pen, since I cannot enjoy your presence more closely. May our sweet Jesus always be praised. I come to remind you of those girls for whom I made the request; one was the daughter of our gardener and the other the niece of a servant. She told me that they should go to San Giorgio when it was time for the girls to come to Florence. I sent to those fathers of San Giorgio to inquire, and I sent word that the requests should come from those who have chosen to give them charity, so it is necessary that you tell them, that is, have two verses written to my confessor and that he take them to the fathers of San Giorgio. Send word to His Highness that the niece of our gardener, who has been here longer, and another time the other girl, for this time only one, that is, the first one, grant me this grace of sending two verses to my confessor. He behaves so well with so much diligence and delicacy of spirit, he comes to administer the sacraments and confession to me. I tell you, certainly, my most serene and dearest, it seems that sometimes he has the prophetic spirit, I am astonished within myself with so much spirit. Remember when His Most Serene Highness called him, he behaves very well in his parish, many people go to confess to him. I pray that he will lead souls forward in the service of God, my most serene and dearest, these days of the most holy Christmas I wish that we were together, you and I, at the holy manger to contemplate Jesus and consider Him and look at Him with affection. With deepest affection, and begging him with tears never to depart from our hearts for his greater glory and our salvation, I prostrate myself with devout reverence and kiss his garment, praying to my sweet spouse Jesus, the fullness of all graces and of all his house, I commend to him the bearer of this letter, that he may grant him the grace he asks for, for he is a poor man and of a very good spirit.... December 16, 1622....</t>
  </si>
  <si>
    <t>la gratia del mio sposo giesu sia sempre con sua altezza serenissima vengo con questa a dirli come il mio padre confessore si leva di qui da confessarmi dice che ha da fare e poi le persuasioni che fanno a monsignore tutto il giorno e tutto e pero interesi e rispeti (or risperi?) humani la suplico per le viscere di giesu adarmi lei un giesuito perche questi preti secolari sono interesati si bene gia un anno dissi a monsigniore che misarei confessa a quello conventuale hora li dico che non ciar_i sodisfasione lo so di certo li dico serenissima mia cara non puol credar piu tanti interesi o per un rispetto o per latro prostrata le di m___ tal gratia a far si che abia un giesuito farse non lo perseguitar_ no mi facci questa gratia e carita quanto prima e simele darano mi diranno che non possano si non per tue o quatro volte e gia me la detto un sacerdote che mi facci tal __ natia__ accio possa una volta servire a dio conquiete una volta ho da fenire a bino conpasione al anima mia per gloria di dio il mondo lo volto le spalle altri che a sua altezza a lei li voglio un bene grande pero mi sento espenta doppo idio di ricorere a lei mi facci questa questa [sic] gratia quanto sa quanto chi confido espero in lei doppo la santissima trinita pigli questa carica come d'una persona ___ sua cara io la tengo come ma____ e piu e lei lo puo le inmaginarselo non mancaro di ricordarmi e riconoscere anco questo benefisio come fo di tutti latri che sua altezza mi fa del continuo la suplico di cuore a non si scordare del mio padre confessore e un bonissimo sacerdote e per le fatiche che ha durato eca l'un__ la so portate per me in quanto a lui mi disse gia che se ne voleva andare vorrei che restase con piaciuta di darmelo una volte il mese e quel giesuito che mi dara vengaci due volte la setimana si non possano piu e farmi communicare al capellano che dice qui la messa cerco dilevare le fatiche serenissima mia cara parlo con lei alla libera con altri a me non pare che si passi prostrrata a suoi piedi li bacio la veste le sto pregando dal mio dolce sposo giesu la celeste e suave rugiado di tutte le gratie del nostro monasterio di san girolamo in campanri</t>
  </si>
  <si>
    <t>May the grace of my spouse Jesus always be with Your Serene Highness. I am writing to tell you that my confessor is leaving, saying he has other things to do, and then there are the pressures they put on the Monsignor all day long, and it's all about self-interest and human respect. I beg you, for the sake of Jesus, to give me a Jesuit priest, because these secular priests are self-interested.  A year ago I told the Monsignor that I would confess to that conventual priest, but now I tell you that I won't find satisfaction there, I know it for sure. My dear Serene Highness, you cannot imagine how much self-interest there is, either for one reason or another. Prostrate before you, I beg you for this grace, to grant me a Jesuit priest, so that I may not be persecuted. Grant me this grace and charity as soon as possible, and others will tell me that they can only come two or four times, and a priest has already told me this, so that I may finally serve God in peace. I must end this with compassion for my soul, for the glory of God. I have turned my back on the world, except for Your Highness, whom I love very much. I feel compelled, after God, to turn to you. Grant me this grace, as you know how much I trust and hope in you, after the Holy Trinity. Take on this task as if it were for someone dear to you. I consider you as my mother and more, and you can imagine it. I will not fail to remember and acknowledge this benefit, as I do for all the others that Your Highness continuously bestows upon me. I beg you from the bottom of my heart not to forget my confessor; he is a very good priest, and for the hardships he has endured, etc., he has borne them for me. As for him, he already told me that he wanted to leave. I would like him to stay, if you would be pleased to grant him to me once a month, and the Jesuit you will give me should come twice a week, if they cannot come more often, and allow me to receive communion from the chaplain who says Mass here. To alleviate your troubles, my dearest and most serene lady, I speak to you freely, unlike with others. It seems to me that I should prostrate myself at your feet, kiss your garment, and pray to my sweet spouse Jesus for the celestial and sweet dew of all the graces of our monastery of Saint Jerome..</t>
  </si>
  <si>
    <t>571r-571v</t>
  </si>
  <si>
    <t>32-33</t>
  </si>
  <si>
    <t>1623/01/01</t>
  </si>
  <si>
    <t>Ghezzi, Modesto</t>
  </si>
  <si>
    <t>1623/02/12</t>
  </si>
  <si>
    <t>572r</t>
  </si>
  <si>
    <t>implying there have been times MM has not responded to Colomba or has otherwise let her down, which gives some insight to the relationship dynamic</t>
  </si>
  <si>
    <t>la grasia [gratia/grazia] del mi sposo gisu sia sempre con sua altezza serenissima vengo con questa mia a pregarla e suplicarla per le viscere di giesu che facci dire cento messe della nutiata a li stessa di firenze per li bisogni della germania e agumento della santa fede a tutte le messe ci facci fare la con letta delle santissime piage e di tutti langioli di grasia non manchi di fare questa santa opera prima per gloria di dio e agumento di santa chiesa come per li perio accio idio dia aiuto alla sacra maesta cesaria come potiamo sperare per la bonta et anco lei mel disse di sua propia bocca desidero come la vera fatte dire mel facci sapere facci scrivare due rige e mandi la letera al mio padre confessore al signore sa li ben capacci canonico oggi al presente dal quale no molta sodisfasione sia la udal__ giesu et anco sua altezza serenissima che me casso usa ogni diligentia di sodisfarmi di tutti sacramenti non manco di riconosciare tal risposta se li piace et anco a non si escordare di me come a fatto pel tempo passato non manco giornalmente di ricordami di lei e del serenissimo gran duca e di tutta la casa sua nelle mie poche e fredde orasioni e di tutto li imperio prostrata interra li faccio humilissima reverenza con baciandola di ogni sua maggior felicita a gloria di sua divina maesta e del governno del nostro monasterio di san girolamo in campanzi il 15 marzo 1623</t>
  </si>
  <si>
    <t>May the grace of my spouse Jesus be always with Your Serene Highness. I come with this letter to beg and implore you, for the sake of Jesus, to have one hundred Masses of the Annunciation said at the church of the same name in Florence for the needs of Germany and the advancement of the Holy Faith.  At all the Masses, please have the litany of the Most Holy Wounds and of all the angels of grace recited. Do not fail to perform this holy work, first for the glory of God and the advancement of the Holy Church, and also so that God may give aid to the Sacred Imperial Majesty, as we can hope for through His goodness, and as you yourself told me with your own mouth. I desire that you have them said as you promised, and please let me know. Have two lines written and send the letter to my confessor, the very capable Canon [name unclear], from whom I receive much satisfaction. May Jesus and also Your Serene Highness be blessed. He [the confessor] uses every diligence to satisfy me with all the sacraments. I will not fail to acknowledge such a reply if it pleases you, and also not to forget me, as you have done in the past. I do not fail daily to remember you and the Most Serene Grand Duke and all your household in my few and humble prayers, and the entire empire. Prostrate on the ground, I offer you my most humble reverence, wishing you every greatest happiness for the glory of His Divine Majesty and for the governance of our monastery of San Girolamo in Campansi, March 15, 1623.</t>
  </si>
  <si>
    <t>573r</t>
  </si>
  <si>
    <t>1623/03/15</t>
  </si>
  <si>
    <t>574r</t>
  </si>
  <si>
    <t>maesta cesaria = ferdinand ii</t>
  </si>
  <si>
    <t>la gratia del mio dolce sposo sia sempre in lei vengo con questa a ringrasiarla di tutto cuore della carita che sua altezza serenissima diedi a una di quelle due fanciulle si li dico mia colpa che so indugiata tanto a scrivarli in pero non mi si parte mai della mente anzi piu che mai la mo di tutto cuore e piu che lei non si puo le inmaginare tutto per pura gloria del mio dolce sposo giesu e sto nel medesimo penziero di venire in cotesti monasteri in pero mi rimeto in sua altezza serenissima quello che sia en maggior gloria di dio avaro sempre gusto di fare la pura volunta della santissima trinita serenissima mia cara avarei gusto di sapere il suo benesa__e e del serenissimo gran duca e di tutte latezze e della sara maesta cesaria il mio padre confessore si porta bene fa l'obedienza non par la [che?] solo ame serenissima arciduchessa sa vicina i giorni che le fanciulle anno a venire per la carita alatezza loro e gia li scrisi a sua altezza che navardi voluta mandare una questo mese di maggio che e[ra?] la nipote d'una servigiale del monasterio quei padri di san giorgo la conoschano e bonissim_ fanciulla sua altezza mi disse chi la mandase a qua padri di san giorgio ma no detto che anno a uscire per polisia e sta alla sorta [or maybe santa?] come piacese a sua altezza serenissima di fare scrivare due versi a que padri che la menase___ senza cavarla per polisia esta alla carita di sua altezza e si lei con piace di far la carita li facci scrivare quanto prima et io vorrei tre piastre per pagre della sera pel santissimo sacramento di tutto sure la saluto nel dolce mio spo[so] giesu prostrata interra le bacio la veste et le sto pregando la suave e celeste rugiada di tanto carita</t>
  </si>
  <si>
    <t>May the grace of my sweet spouse always be with you. I write to thank you wholeheartedly for the charity that your most serene Highness showed to one of those two girls. I confess it is my fault that I have delayed so long in writing to you, but you are never far from my mind; indeed, I love you more than ever, more than you can imagine, all for the pure glory of my sweet spouse Jesus. I am still thinking of coming to those monasteries, but I leave it to your most serene Highness to decide what would be for the greater glory of God. I always desire to do the pure will of the Most Holy Trinity. My dear serene Highness, I would like to know about your well-being, and that of the most serene Grand Duke and all the ladies, and of Her Imperial Majesty. My confessor is well and is obedient. It seems that only I, serene Archduchess, am near the days when the girls are to come for the charity of your Highness. I have already written to your Highness that I wanted to send one this month of May, who is the niece of a servant of the monastery. Those fathers of San Giorgio know her, and she is a very good girl. Your Highness told me to send her to those fathers of San Giorgio, but they said that they have to leave for reasons of public order, and it is up to chance [or maybe fate?] as it pleases your most serene Highness to have two lines written to those fathers so that they may take her without removing her for reasons of public order. It is up to the charity of your Highness, and if it pleases you to show this charity, please have it written as soon as possible. And I would like three piastres for the evening payment for the Most Holy Sacrament. I greet you in my sweet spouse Jesus, prostrate on the ground, I kiss your garment and I pray for the sweet and celestial dew of so much charity</t>
  </si>
  <si>
    <t>1623/05/10</t>
  </si>
  <si>
    <t>la gratia di giesu sposo amoroso della anima mia sia sempre con sua altezza serenissima
ero tanto impedita dal dolor del capo quando scrissi ultim_ mente che non potevo scrivere adesso che mi sento al quanto meglio vengo a pregarla voglia farmi carita di farmi [sa?]pere come passino le cose de a le magnia perche credo fermamente che habbino a passar bene et che sieno in buono essare o almeno con buona speranza si possa credere che devino andar bene et non mancho di ricordarmene continuamente in tutti gli miei fredi eserciti et per sua altezza serenissima et secondo la sua intenzione et lo faro sempre ma</t>
  </si>
  <si>
    <t>May the grace of Jesus, the loving spouse of my soul, always be with His Most Serene Highness.
I was so hindered by a headache when I wrote last that I couldn't write now that I'm feeling much better. I come to ask you to do me the kindness of letting me know how things are going in the greatness because I firmly believe that they are going well and that they are in good shape, or at least with good hope one can believe that they will go well. I do not fail to remember this continually in all my brave armies, both for His Most Serene Highness and according to his intention, and I will always do so.</t>
  </si>
  <si>
    <t>575r</t>
  </si>
  <si>
    <t>padre confessore
di gratia mi facci carita di scrivare alla serenissima mia cara cara arciduchessa diteli chi non [o?] altri che lei e di lei desidero saper nuove ____ e del suo fratello e come passino le cose del imperio di teli chi ne spero bene peresar sua maesta cesaria tanto dengna dogni beneditione celeste et humana non diro altro ormai padre confessore sapete e miei penzieri e quanto desidero per latezza et io mi litrovo obligatissima di si gran benefisio che ma fatto per salute de l'anima mia e spero nella bonta divina e la carita della serenissima mia cara cara arciduchessa che mentre che vivo non mabia a mancare altro non desidero che di caminare ina[n]zi e voi mi indiriziate sempre piu sapendo la brama mia celeste fatili humilissim_ reverenza come cosa mia cara cara</t>
  </si>
  <si>
    <t>Father Confessor,
Please do me the favor of writing to my most serene, dear, dear Archduchess. Tell her that I have no one but her, and I long to hear news of her and her brother, and how things are going in the empire. Tell her that I hope for the best for her Imperial Majesty, so worthy of all heavenly and human blessings. I will say no more, Father Confessor, you know my thoughts and how much I desire her well-being, and I feel deeply indebted for the great benefit she has bestowed upon me for the salvation of my soul. I hope in divine goodness and the charity of my most serene, dear, dear Archduchess that as long as I live, I will not lack anything. I desire nothing more than to move forward, and you will always guide me, knowing my heavenly longing. Offer her my most humble reverence, as to someone so dear to me.</t>
  </si>
  <si>
    <t>576r</t>
  </si>
  <si>
    <t>577r</t>
  </si>
  <si>
    <t>1623/06/21</t>
  </si>
  <si>
    <t>42</t>
  </si>
  <si>
    <t>50</t>
  </si>
  <si>
    <t>Chigi, Agostino</t>
  </si>
  <si>
    <t>Guazzesi, Girolamo</t>
  </si>
  <si>
    <t>A___</t>
  </si>
  <si>
    <t>Sart.no</t>
  </si>
  <si>
    <t>Colle</t>
  </si>
  <si>
    <t>690r-690v</t>
  </si>
  <si>
    <t>1627/06/15</t>
  </si>
  <si>
    <t>691r</t>
  </si>
  <si>
    <t>1618/02/27</t>
  </si>
  <si>
    <t>692r</t>
  </si>
  <si>
    <t>da Mota___, Fabritio</t>
  </si>
  <si>
    <t>104-105</t>
  </si>
  <si>
    <t>693r-693v</t>
  </si>
  <si>
    <t>1628/04/26</t>
  </si>
  <si>
    <t>694r</t>
  </si>
  <si>
    <t>1628/05/22</t>
  </si>
  <si>
    <t>Avarigi, Lodovico</t>
  </si>
  <si>
    <t>695r</t>
  </si>
  <si>
    <t>107</t>
  </si>
  <si>
    <t>1628/06/21</t>
  </si>
  <si>
    <t>696r</t>
  </si>
  <si>
    <t>697r</t>
  </si>
  <si>
    <t>698r-698v</t>
  </si>
  <si>
    <t>de' Medici, ?</t>
  </si>
  <si>
    <t>Ruler: Principe di Toscana</t>
  </si>
  <si>
    <t>1628/07/18</t>
  </si>
  <si>
    <t>699r</t>
  </si>
  <si>
    <t>112</t>
  </si>
  <si>
    <t>700r</t>
  </si>
  <si>
    <t>701r</t>
  </si>
  <si>
    <t>702r</t>
  </si>
  <si>
    <t>703r</t>
  </si>
  <si>
    <t>116</t>
  </si>
  <si>
    <t>718r</t>
  </si>
  <si>
    <t>119</t>
  </si>
  <si>
    <t>?, Pietro</t>
  </si>
  <si>
    <t>719r</t>
  </si>
  <si>
    <t>1628/10/11</t>
  </si>
  <si>
    <t>1628/12/00</t>
  </si>
  <si>
    <t>720r</t>
  </si>
  <si>
    <t>121</t>
  </si>
  <si>
    <t>721r</t>
  </si>
  <si>
    <t>122</t>
  </si>
  <si>
    <t>Petrucci, Lorenzo</t>
  </si>
  <si>
    <t>1629/03/09</t>
  </si>
  <si>
    <t>722r</t>
  </si>
  <si>
    <t>123</t>
  </si>
  <si>
    <t>723r</t>
  </si>
  <si>
    <t>124</t>
  </si>
  <si>
    <t>1629/04/17</t>
  </si>
  <si>
    <t>Petrucci, Gio.batta</t>
  </si>
  <si>
    <t>724r</t>
  </si>
  <si>
    <t>1629/06/18</t>
  </si>
  <si>
    <t>d'Hassia, Arrigo Landgrario</t>
  </si>
  <si>
    <t>725r</t>
  </si>
  <si>
    <t>126</t>
  </si>
  <si>
    <t>1629/07/30</t>
  </si>
  <si>
    <t>1629/08/28</t>
  </si>
  <si>
    <t>726r</t>
  </si>
  <si>
    <t>127</t>
  </si>
  <si>
    <t>1629/09/16</t>
  </si>
  <si>
    <t>Fontebuoni, Orsola</t>
  </si>
  <si>
    <t>Bad.ssa indegna</t>
  </si>
  <si>
    <t>727r-727v</t>
  </si>
  <si>
    <t>128-129</t>
  </si>
  <si>
    <t>728r</t>
  </si>
  <si>
    <t>1629/10/04</t>
  </si>
  <si>
    <t>729r</t>
  </si>
  <si>
    <t>1629/10/07</t>
  </si>
  <si>
    <t>1629/10/08</t>
  </si>
  <si>
    <t>730r</t>
  </si>
  <si>
    <t>Montabbano, Marco</t>
  </si>
  <si>
    <t>de' Medici, Mattias</t>
  </si>
  <si>
    <t>731r</t>
  </si>
  <si>
    <t>1629/11/27</t>
  </si>
  <si>
    <t>732r</t>
  </si>
  <si>
    <t>1629/12/26</t>
  </si>
  <si>
    <t xml:space="preserve">Seniori de la Natione Todesca </t>
  </si>
  <si>
    <t>733r</t>
  </si>
  <si>
    <t>135</t>
  </si>
  <si>
    <t>1629/12/22</t>
  </si>
  <si>
    <t>734r</t>
  </si>
  <si>
    <t>1630/02/11</t>
  </si>
  <si>
    <t>Gio Ranion</t>
  </si>
  <si>
    <t>Clergy: Fra, Conti d'Elci, Priori e Pri di S. Dom[eni]co</t>
  </si>
  <si>
    <t>735r</t>
  </si>
  <si>
    <t>1630/03/18</t>
  </si>
  <si>
    <t>Vitelli, Francesco</t>
  </si>
  <si>
    <t>736r</t>
  </si>
  <si>
    <t>1630/06/20</t>
  </si>
  <si>
    <t>737r</t>
  </si>
  <si>
    <t>Naldi, Lodovico</t>
  </si>
  <si>
    <t>Sartirana</t>
  </si>
  <si>
    <t>Acquapend.te</t>
  </si>
  <si>
    <t>1630/00/16</t>
  </si>
  <si>
    <t>Beaurocrat: Li Rapp[resenta]ti la Sena di Poggibonri</t>
  </si>
  <si>
    <t>738r</t>
  </si>
  <si>
    <t>140</t>
  </si>
  <si>
    <t>1630/08/19</t>
  </si>
  <si>
    <t>759r</t>
  </si>
  <si>
    <t>142</t>
  </si>
  <si>
    <t>1630/08/27</t>
  </si>
  <si>
    <t>1630/08/28</t>
  </si>
  <si>
    <t>760r-760v</t>
  </si>
  <si>
    <t>143-144</t>
  </si>
  <si>
    <t>761r</t>
  </si>
  <si>
    <t>145</t>
  </si>
  <si>
    <t>1630/09/18</t>
  </si>
  <si>
    <t>762r</t>
  </si>
  <si>
    <t>se li piace far carita al dolce giesu grata credo che il concedere al signor lorenzo a u veduti un sopra tiene di quattro giorni all andare et quattro al tornare alla podesteria dove andera se lei gli fara questa gratia sara molto accetta essendo gentilhomo di buonissima mente et qual sene sta per debito in luogi religiosi per havetre havuta piu carita ad altri che a se medesimo si che non manchi si le piace far tal gratia</t>
  </si>
  <si>
    <t>If you would like to show charity to sweet Jesus, I believe it would be a kind gesture to grant Mr. Lorenzo a leave of absence of four days for the journey there and four days for the return to the podesteria where he will be going. If you grant him this favor, it will be much appreciated, as he is a gentleman of very good character and is staying in religious places out of duty, having shown more charity to others than to himself. So please do not fail to grant him this favor if you so wish.</t>
  </si>
  <si>
    <t>763r</t>
  </si>
  <si>
    <t>suplico vostra altezza che voglia farmi carita di impetrarami da sua santita una licenzia che mentre vivo habbia sempre questo confessore n_ veruno possa levarmelo et di questo la suplico a farmi havere la licenzia scritta perche il mondo e i mondo et le persone sono mutabili et io non ho altri che piu all'anima mia possa giovare per molti rispetti et uno che sa vostra altezza il essar nuta et esso in ogni cosa ha di me grandissima pratica prostrata le domando questa carita per li meriti di giesu non altri che lei che mi possa far haver tal gratia pero mi scusi piace cosi a giesu vol che cerchiamo di servirlo compurita e ame mi fa di bisognio di persona _otta come e questo e pratico e ancho e tutto spirito non ci nomino il nome perche lo sa
si no a tanto che venga la licentia di roma vostra altezza faccia quanto prima scrivere al nostro arcivescovo che non pensi far mutatione et che lo dica al suo vicario che non trovi inventioni et di questo la suplico prostrata in terra per le viscere di giesu</t>
  </si>
  <si>
    <t>losing her father confessor is a recurring theme in colomba's letters to MM; I wonder why?</t>
  </si>
  <si>
    <t>I beg Your Highness to show me the charity of obtaining from His Holiness a license that, as long as I live, I may always have this confessor, and that no one may take him away from me.  I beg you to have this license given to me in writing, because the world is the world, and people are changeable, and I have no one else who can be of more benefit to my soul for many reasons, and one that Your Highness knows, being so virtuous, and he has great experience with me in everything. Prostrate, I ask you for this charity for the merits of Jesus; there is no one but you who can obtain such a grace for me. Please excuse me, but it pleases Jesus that we seek to serve Him with purity, and I need a person as learned and experienced as this one, and also entirely spiritual. I do not mention his name because you know it.
Until the license arrives from Rome, may Your Highness please write as soon as possible to our archbishop, telling him not to think of making any changes, and to tell his vicar not to invent any pretexts. I beg you for this, prostrate on the ground, for the sake of Jesus.</t>
  </si>
  <si>
    <t>764r</t>
  </si>
  <si>
    <t>Soriano</t>
  </si>
  <si>
    <t>1630/10/06</t>
  </si>
  <si>
    <t>Alse____, Pietro</t>
  </si>
  <si>
    <t>Bracci, Jacomo</t>
  </si>
  <si>
    <t>1630/11/24</t>
  </si>
  <si>
    <t>765r-765v</t>
  </si>
  <si>
    <t>149-150</t>
  </si>
  <si>
    <t>Urbino</t>
  </si>
  <si>
    <t>S.t Agata</t>
  </si>
  <si>
    <t>1613/10/12</t>
  </si>
  <si>
    <t>1613/10/17</t>
  </si>
  <si>
    <t>1613/10/16</t>
  </si>
  <si>
    <t>Montebello</t>
  </si>
  <si>
    <t>Bologna</t>
  </si>
  <si>
    <t>Borgo</t>
  </si>
  <si>
    <t>Imperiale</t>
  </si>
  <si>
    <t>__erero</t>
  </si>
  <si>
    <t>Sinigaglia</t>
  </si>
  <si>
    <t>Palazzo del Canne</t>
  </si>
  <si>
    <t>44</t>
  </si>
  <si>
    <t>Clergy</t>
  </si>
  <si>
    <t>Borghese, ?</t>
  </si>
  <si>
    <t>Careggi</t>
  </si>
  <si>
    <t>Impruneta</t>
  </si>
  <si>
    <t>Pratlino</t>
  </si>
  <si>
    <t>von Habsburg, Maria Magdalena</t>
  </si>
  <si>
    <t>1628/04/07</t>
  </si>
  <si>
    <t>1628/05/27</t>
  </si>
  <si>
    <t>Barone</t>
  </si>
  <si>
    <t>Villa ?</t>
  </si>
  <si>
    <t>Genova</t>
  </si>
  <si>
    <t>1628/04/08</t>
  </si>
  <si>
    <t>1628/12/20</t>
  </si>
  <si>
    <t>Imprudenta</t>
  </si>
  <si>
    <t>Villa di Monte Turli</t>
  </si>
  <si>
    <t>de' Medici, Gio. Carlo</t>
  </si>
  <si>
    <t>Nansi</t>
  </si>
  <si>
    <t>Piuz</t>
  </si>
  <si>
    <t>Torino</t>
  </si>
  <si>
    <t>Inspruch</t>
  </si>
  <si>
    <t>1628/12/18</t>
  </si>
  <si>
    <t>Firenze nel Monasterio della Santissima Concezzione</t>
  </si>
  <si>
    <t>Ensisheim</t>
  </si>
  <si>
    <t>Picchena, Curtio</t>
  </si>
  <si>
    <t>Beaurocrat: Segretario di Toscana</t>
  </si>
  <si>
    <t>22-24</t>
  </si>
  <si>
    <t>61-63</t>
  </si>
  <si>
    <t>ASF, Mediceo del Principat, Fol  6071.</t>
  </si>
  <si>
    <t>1613/10/02</t>
  </si>
  <si>
    <t>Con l'ocasione del passaggio di SA alla S.ta Casa di Loreto manda N.re Monsignore Vescovo di Albenga Governatore dell'Umbria, a' visitarla, et benedivla da sua parte con ordine anco di servirla in tutto il viaggio; si come egli dovera complire all'uno et all'altro offitio. Supplicara' poi l'istesso monsigore di Albenga in bacciar le mani, a V.A. in mio nome; valendomi io della med.a occasione per darle quei segni, che io posso della mia servitia; se bene ne darei piu' volentieri dimostrationi di effetti sempre che V.A. si degnassi di honorarmi de suoi commandamenti. Resto pregand___ Dio, che del sup santo peregrinaggio la ricompensi con ogni pienessa di gratie. [kiss your hands etc]</t>
  </si>
  <si>
    <t>On the occasion of Your Highness's passage to the Holy House of Loreto, send His Excellency, the Bishop of Albenga, Governor of Umbria, to visit you and bless you on his behalf, with orders to serve you throughout the journey, as he was to fulfill both duties. I will then ask the same Monsignor of Albenga to kiss Your Highness's hands in my name; I will take advantage of this opportunity to give you whatever signs I can of my service; although I would more willingly give demonstrations of its effects, if Your Highness were to deign to honor me with your commandments. I remain praying to God that He may reward you for your holy pilgrimage with every fullness of grace. [kiss your hands etc]</t>
  </si>
  <si>
    <t>TLDR: Perugia is going to host MM and her entourage on their way to Loreto and will send some Ambassadors to meet them; they are honored to host the Medici family</t>
  </si>
  <si>
    <t>TLDR: I'm happy to help you with whatever you need on your pilgrimage; also I am sending Bishop of Albenga, Governor of Umbria, to visit you and bless you for me.</t>
  </si>
  <si>
    <t>...................e poco sara' certo questo, che facciamo hora seco col. mezzo del signore Dottor Lodovico Spotti, et del signore Lorenzo Montesperelli mostri Ambasciatori ad incontrarla, a' i quali degnesi V.A.S. persua infinita bonta..................</t>
  </si>
  <si>
    <t>...................and it will be little certain that we will now do with you, through the intermediary of the lord Doctor Lodovico Spotti and the lord Lorenzo Montesperelli, send ambassadors to meet you, to whom Your Highness deigns to express his infinite kindness.....................</t>
  </si>
  <si>
    <t>1613/10/11</t>
  </si>
  <si>
    <t>Beaurocrat: Li Priori di Perugia</t>
  </si>
  <si>
    <t>11 Ott.re 1613
Ser.mo Signore mio consorte oss.mo
Hiersera quando io fui arrivata all'alloggiamento, considera ch'io m'ero separata da V.A. di se pochi hore, che era superfluo lo sriverle, e con tutto cio ella havra' havuto nuova di me da Madama, alla quale per__ spedire per pregarla ad accommodarmi del suo lettighiere poiche il mio s'era ammalato. Questa mattina feci assai buona levata, e me ne venni a desinare in Montepulciano nella casa del S. Gio Andrea Ricci molto nobilmente addobbata, essendomi stato detto che egli habbia fatto venir da Roma le sua piu ricche masse_ilie a' questo effetto. Me ne son venuta poi a Cortona, et si bene il cammino, per mella giornata, e' al quanto lungo, mondimeno la serenita del cielo bellissima, m'ha fatto parere il viaggio brevissimo, non potendo io esprimere a V.A. bastantemente il diletto ch'io mi son presa dalla vista della campagna, la quale per la pioggia che venne alli giorni passati e' talmente rinuirdita, che rappresenta il mese di Maggio, et le strade son tanto buone, che non si puo desiderar piu, et quel che e' molto desiderabile, non e' ne' tango ne' polvere. Cosi fatto viaggio mi par maggiormente dilettenole, poi che l'anno passato. come si puo ricordar V.A. havemmo sempre a' se heermire con le pioggie. Andero avanti, con speranza che questo bel tempo habbia da continuare fin al mio ritorno a siena, ma perche sarebbe troppa felicita' sto tuttavia col timoe della mutatione, massimamente su la prossima nuova luna. Io non perdere tempo, perche il desiderio di riveder presto V.A. mi sta sul cuore, et m'ingegnero di darle spesso nuove di me, anzi agni giorno se sara' possibile, et prego l'Alt.za. V. che anchella spesso mi faccia dar avviso della sua buona salute questo mi fara' andar con l'animo piu scarico, e piu allegra. e non havendo altre nuove da darle, faro fine, con baciar le mani a V.Alt.za affettuosissimamente, come faccio anche a' Madama, salutando similmente il Principe Don Francesco. Da Cortona alli 11 di Ottobre 1613.
Di Vra Alt.za 
Humillissima et ebbe dientisi___ consorto et serva di tutto cuore
Maria Magdalena</t>
  </si>
  <si>
    <t>Yesterday evening, when I arrived at the lodgings, consider that I had been separated from Your Highness for only a few hours, so that it was superfluous to write to you, and in any case you must have heard about me from Madame, to whom I sent to ask her to take me to her stretcher, since mine had fallen ill. This morning I got up very early and came to dine in Montepulciano at the very nobly decorated house of San Giovanni Andrea Ricci, having been told that he had brought his richest masses from Rome for this purpose. I then came to Cortona, and although the journey for the day is quite long, nevertheless the beautiful serenity of the sky made the trip seem very short, since I could not express to Your Highness: I was quite delighted by the sight of the countryside, which has become so wet from the rain of the past few days that it resembles the month of May, and the roads are so good that nothing more can be desired, and what is most desirable is that there is neither sand nor dust. So the journey was made. It seems to me even more delightful, since last year, as Your Highness may remember, we always had to endure the rains. I will go ahead, hoping that this fine weather will continue until my return to Siena, but since it would be too much of a joy, I am still fearful of change, especially around the next new moon. I will not waste time, because the desire to see Your Highness again soon is on my heart, and I will try to give you news of myself often, even every day if possible, and I ask Your Highness to also let me know often of your good health; this will make me go about my life more relaxed and more cheerful. And since I have no other news to give you, I will end by kissing Your Highness's hands most affectionately, as I also do to Madame, similarly greeting Prince Don Francesco. From Cortona on October 11, 1613.</t>
  </si>
  <si>
    <t>Cortona</t>
  </si>
  <si>
    <t>Rendo gratie a V.A. che con tanta amorevolezza e diligenta me habbia mandato il suo lettighiere, e mene servito per tutto questo viaggio. Io scrivo lungamente al Gran Duca, dandoli ragguaghio d'ogni cosa, e del ricevimento honorevolissimo che m'e' stato fatto in Perugia, onde non staro' a replicare a V.A. le medesime cose, poi che la lettera sara' comune a' lei ancora. Solamente le diro', come mi pare di haver fatto un opera buona, con haver rappacificato li due visconi, di Volterra, e di Colle. La sera che' arrivammo in Cortona, intesa che Volterra haveva manguato riteratamente come fece anche Arezzo, et che Colle saputo questo, volse anche egli cenar da se e parendomi che si cominciassero a disordinar le cose, ordinai al S.r Don Giovanni che procurasse di rimediarci con la sua solita destrezza egli domando prima volterra della cagione della sua ritiratezza, ese cosa alcuna gli posse mancato. Ripose, ___ il venerdi sera egli et Arezzo erano soleti di passarsela sobriamente. Domandogli S. E. come stavano insieme egli e'l vescono di Colle. Ci e' quale li humore, dess'egli, ma io son pronto a far ogni cosa. Parlo poi il S.r Don Giovanni a quel di Colle, il quale mostrando buona volonta', ando' subito da Volterra, e gli disse, __ per questo viaggio l'honorerebbe e servirebbe, ma poi, con tutti gli annessi e connessi queste furono le sue formali parole, si ritornerebbe nell'esser di prima si dolse seco il S.r Don Giovanni, __ an la mia interpositione egli volesse fare una pace conditionata, onde egli sentendo nomenarme, ra__ed__tosi dell'errore, lo confesso a S. E. e subito si rimesse, e son doventati amici. Ho trovato qui la contessina dal Monte, moglie del Baldeschi la quale per esser gravida di molti mese, nd usci piordi porta ad incontrarmi, ma ando ad aspettarmi in Palazzo, insieme con altre gentildonne. Domattina signitero il mio viaggio, por il quale so che V.A. non lascia di pregar Iddio, accio sia tutto felice, et io le baccio condialiss.te le mani. Da Perugia alli 12 di Ottobre 1613.</t>
  </si>
  <si>
    <t>I thank Your Excellency for having so lovingly and diligently sent me your litter bearer, and served me throughout this journey. I am writing at length to the Grand Duke, informing him of everything, and of the most honorable reception I received in Perugia. Therefore, I will not repeat the same things to Your Excellency, since the letter will also be in your possession. I will simply tell you that I believe I have done a good deed by reconciling the two viscons of Volterra and Colle. The evening we arrived in Cortona, having heard that Volterra had eaten extensively, as had Arezzo, and that Colle, having learned of this, also wanted to dine alone, and it seemed to me that things were beginning to get out of order, I ordered Mr. Don Giovanni to try to remedy the situation with his usual dexterity. He first asked Volterra the reason for his withdrawal, and if he had lacked anything. He replied, ___ on Friday evening he and Arezzo were They were accustomed to spending their time soberly. I asked His Excellency how he and the bishop of Colle were getting along. There is something he might say, but I am ready to do anything. Then Mr. Don Giovanni spoke to the man from Colle, who, showing good will, immediately went to Volterra and told him, __ with this trip he would honor and serve him, but then, with all the consequences - these were his formal words - he would return to his former self. Mr. Don Giovanni complained to himself that he wanted to make a conditional peace at my interposition. So, hearing me mentioned, he regretted his mistake and confessed it to His Excellency, and immediately recovered, and they became friends. I found Countess Dal Monte here, Baldeschi's wife, who, being several months pregnant, is coming out of doors to meet me, but I am going to wait for me at the Palace, along with other ladies. Tomorrow morning I will sign my journey, for which I know Your Highness does not cease to pray to God that everything may be successful, and I most cordially kiss your hands. From Perugia, October 12, 1613.</t>
  </si>
  <si>
    <t>family living together sharing letters/reading each others letters... understanding that the "addressee" is likely understood to be only one of many readers</t>
  </si>
  <si>
    <t>1613/10/13</t>
  </si>
  <si>
    <t>16-20</t>
  </si>
  <si>
    <t>Perche m'era detto che da Cortona a Perugia erano venticinque miglia, giornata molto lunga a' si fatto traino, io sollecitai di mettermi in viaggio avanti al levar del sole, e fu tale la mia diligenta, che Mons.r Gon.re il quale havena destinato d'incontrarmi sul confino appunto, che e' quattro miglia lontano da Cortona, non fu a' tempo, ancor che egli nenisse con una carrozza a' sei cavalli battendo. Mi trovo non di meno entrata per poco spatio su lo stato ecclisiastico, et era accompagnato da molti gentilhuomini Perugine, et da due Amb.r della Citta'. egli subito smontato, mi presento il Breve di S. Sta del quale sara' con questa la copia, et in conformita di esso mi uso molte parole di cortesia, mostrando anche molto contento, che gli fusse stato comandato di accompagnarmi per tutto questo viaggio. Mi porsi anche una lettera del S.r Cardinal Borghese, del tenone che V.A. vedra' della copia, si come gliene mando ancora di quella, che doppo il complimento del Gon.e mi presentarono gli Amb.re della Citta'. A tutti fu corrisposto da me con le piu amorevoli parole che mi son vennero, e cosi cene venimmo a' desinare a' Passignano. Partiti poi di quivi, cominciammo non molto lontano a trovare una compagnia di archibusieri a' cavallo di circa cinquanta, et poi piu la un'altra, e poco doppo, una spalliera d'fantena che potevano esser quattrocento. et avvicinatici a' Perugia a cinque o' sei miglia riscontrammo diverse truppe di gentilhuomini a' cavallo, che venivano ad incontrarmi, si che non si camminava mezzo miglio __ non sene trovasse qualche truppa, o' di cinquanta, o' di quaranta, o' di piu o' di meno, et V.A. haura una li stra de piu principali, essendomi parso __ meritino d'esserle nominati. M'incontro anche cinque o' sei miglia la moglie del S.r Carlo della Penna con una carozza a quattro cavalli, piena d'altre gentildonne lor parenti. Poi un miglio sotto Perugia, in un bello e largo stradone sopra una spatiosa pianura trovammo un numero di pui di mille fanti che facevano ala di qua' e di la' per lunghissimo spazio, si come v'era anche un'altra compagnia di cavalli, cioe' archibusieri, e popolo infinito et in somma, da che entrammo dentro a confini del Papa, fino a' Perugia, li strade erano si puo dir piene di gente concorsa da tutte li ville vicine, e messasi sopra i cigli all'ombra degli alleri, invitata anche del tempo che non poteva esser piu bello. Veduto laq nobilta' et il popolo __ erano usciti di Perugia, io dubitano che la Citta' si fusse quasi spoposata affatto , ma entrata dentro, m'avviddi, __ oltre all'esseria rimaste le donne, delle quali erano piene le fenestre, tutte tapezzate, anche la via era calcata de gente, se bene quando io entrai, il giorno haveva cominciato a oscararsi, si che vi fu bisogno delle torcie. Io andai a' smontare al Duomo, e poi mene venni al Palazzo, done mi riceve alla porta il Gon.re et anche il Magistrato della Citta' con habiti rossi, che risiede dentro al medesimo Palazzo. eperche s'haveno a' salir piu scale __ non son quelle de Pitti fin agli appartamente di spora, io presi risolutione di farmi portare in seggiola. le stanle tutte done io alloggio, __ son molte, sono riccamente addobbate, se bene alla mia camera s'e' messo il solito paramento turchino. si vede veramente che tutta questa citta' giubila, et mostrano ne gli atti esteriori, come sento che hanno nel nuore un affetto straordinario verso V.A. Non debbo anche tralasciar di dire, che nella mia entrata e doppo, la forezza sparo' molti pezzi grossi, et insomma in tutto questo ricevimento, io non so qual maggior honore poteva esser fatto al Papa medesimo. Non voglio tacere a' V.A. un solo disgusto che sento essere in tutta la Citta', cioe' che la spesa habbia a' uscir dalla comunita', et i Ministri del Papa habbino a' farsene honore. Dicono che se bene questa e' cosa insobita, et che quando ci passo' Madama, fece la spesa il Papa, e la Citta' non ne fu aggravata, nondimeno per serizio di V.A. affermano che spenderebbono il cuore, ma havrebbon voluto che questo fusse apparito, et che a' huomini della Citta' ne fusse stata commessa la cura, et non se la fusse presa tutta il Gon.re et sene la mentano alla scoperta con tutti i gentilhuomini che son meco la spesa s'e' ordinata di circca millescudi il giorno, ecosi si fara' in tutte l'altre provincie, et il denaro viene sborsato dal Pandolfini Tesoriero di Perugia, il quale verra', o' mandera un sostituto per tutto questo viaggio, et egli ne sara' rimborsato dalle comunita' Mi riposero' questo giorno, e andero vedendo i luoghi di devotione e li reliquie, e domattina, piacendo a' Dio, seguitero il mio viaggio. Io mi sento benissimo, et da questo moto non conosco una minima alteratione, anzi mi par piu tosto di rinuigonire ogni giorno piu. Anche il S.r Don Giovanni sta benessimo, et assiste alla persona mia del continuo quando bisogna. Innanzi ch'io mi parta di qui, faro' risposta al Breve di S. S.ta et alla lettera del Card.le Borghese, consegnandole a Mons.r Gov.re Il quale mi fa un ossequio straordinario, e si mostra serv.re suiscervatissimo di V.A. Il viaggio da pui innanzi sara' conforme alla stabilemento __ ne fu fatto costa; e per fine le bacio cordialiss.te le mani __ Perugia alli 13 di ottobre 1613 io spetto con grandissimo desiderio una lettera di VA per intendor la sua bona saluto perche ogni hora paro a me mille anni si bene io ricene tutto honora possible VA non po __doro come habiamo grandissimo caldi se amale ancora asai dolla gente bassa</t>
  </si>
  <si>
    <t>Is this referencing the Papal brief from page 55 of this PDF? (16) mention of relics on pg. 20</t>
  </si>
  <si>
    <t>Since I was told that from Cortona to Perugia was twenty-five miles, a very long day for such a journey, I hastened to set out before sunrise, and so diligently was I that Monsignor Gonti, who had appointed to meet me at the very border, which is four miles from Cortona, did not arrive on time, even though he was driving a six-horse carriage. Nevertheless, I found myself entering the ecclesiastical state for a short time, and was accompanied by many gentlemen from Perugia and two ambassadors from the city. He immediately dismounted and presented me with the Brief of Holy See, of which a copy will be included with this one, and in accordance with it he used many words of courtesy, also showing great satisfaction that he had been ordered to accompany me for this entire journey. I was also given a letter from Cardinal Borghese, of the tenon that Your Excellency you will see the copy, as I am also sending you one of the one that the Ambassadors presented to me after the compliment of the Governor. of the City. I responded to everyone with the most loving words I could think of, and so we came to dine at Passignano. Having left there, not far away we began to encounter a company of mounted arquebusiers of about fifty, and then another, and shortly after, a company of infantry that may have numbered four hundred. And as we approached Perugia, five or six miles away, we encountered various troops of gentlemen on horseback, who were coming to meet me, so that we could not walk half a mile without encountering some troop, whether fifty or forty, more or less, and Your Highness has a line of the most principal roads, having seemed to me __ worthy of being mentioned. I also met the wife of Mr. Carlo della Penna five or six miles away with a carriage drawn by four horses, full of other gentlewomen, their relatives. Then a mile below Perugia, on a beautiful and wide road over a spacious plain, we found a number of more than a thousand infantrymen who formed a wing here and there for a very long space, as well as another company of horsemen, that is, arquebusiers, and countless people, and in short, from the time we entered the Papal borders up to Perugia, the streets were, one might say, filled with people who had gathered from all the nearby villages, and who had gathered on the verges in the shade of the trees, also invited by the weather which could not have been more beautiful. Seeing that the nobility and the people had left Perugia, I suspected that the city had almost completely depopulated, but upon entering, I realized that in addition to the women who remained, with whom the windows were filled, all covered, the street was also crowded with people, although when I entered, the day had begun to grow dark, so that torches were needed. I went to dismount at the Duomo, and then I came to the Palace, where I was received at the door by the Governor and also by the Magistrate of the City in red robes, who resides within the same Palace. and since one has to climb several stairs __ not those of the Pitti Palace up to the upper apartments, I decided to have myself carried on a chair. The rooms I lodge in are all well-furnished, __ there are many of them, they are richly decorated, although my room has been decorated in the usual blue way [turchino = blue] blue. It is truly evident that this entire city is rejoicing, and they show in their outward actions that I sense an extraordinary affection for Your Excellency. I must also not fail to say that on my entry and afterward, the fortress fired many big shots, and in short, in this entire reception, I do not know what greater honor could have been given to the Pope himself. I do not want to conceal from Your Excellencies one displeasure that I sense throughout the city, namely that the expense should come out of the community, and the Pope's ministers should have to take honor for it. They say that although this is an unforeseen matter, and that when Madame passed through, the Pope paid the expense, and the city was not burdened by it, nevertheless, thanks to Your Excellency's service. they affirm that they would spend their heart, but they would have liked this to have been made known, and that the men of the City had been entrusted with the care of it, and that the whole Government had not taken it over and they lie about it openly with all the gentlemen who are with me. The expense has been set at around a thousand crowns a day, as will be done in all the other provinces, and the money is paid by the Pandolfini, Treasurer of Perugia, who will come or send a substitute for this entire trip, and he will be reimbursed by the communities. I will rest this day and go see the places of devotion and the relics, and tomorrow morning, God willing, I will continue my journey. I feel very well, and from this motion I do not notice the slightest alteration; indeed, I feel rather like I am getting more and more sleepy every day. Lord Don Giovanni is also very well and assists me continuously when necessary. Before I leave here, I will reply to the Brief of His Holiness and to the letter of Cardinal Borghese, delivering them to Monsignor Governor, who pays me extraordinary respects and shows himself to be a most diligent servant of Your Excellency. The journey from now on will be in accordance with the agreement __ was made accordingly; and finally I kiss your hands most cordially __ Perugia, October 13, 1613 I await a letter from Your Excellency with the utmost eagerness, so that I may learn of your good health; for every hour seems like a thousand years to me—even though I receive every possible honor. Your Excellency cannot imagine the intense heat we are enduring, which is causing considerable suffering, particularly among the common people.</t>
  </si>
  <si>
    <t>1613/10/14</t>
  </si>
  <si>
    <t>M'ha recato antento infinito la lettera di V.A. de 12 ricevuta da me hiersera nel tornarmene a' Palazzo, non potendo io havere la maggior consolatione in tutto questo viaggio, che il sentire spesso nuove di V.A. et delle sua buona salute. Hieri con la speditione del Corriero le scrissi a' lungo, et le diedi conto minutamente digli honori che mi sono stati fatti nella mia minuta in questa Citta'. Hora non ho altro da soggiugnese, se non che hiermattina andai in seggiola a' uder Messa in Duomo, venedomi dietro a piedi, oltre alla mia solta accompagnatura delle donne, un buon numero di signore della Citta', e nonostante che la strade sia larga, et la piazza capacissima, non dimeno ci era concorso tanto popolo, che i tedeschi duravano gran fatica ad aprir il passo per andar alla chiesa. Celebro la Messa Mons.r Gon.re nella Cappella done si conserva l'Anello col quale fu sposata la virgine, il quale ci fu mostrato con grandissima devoline, e con tanto fracasso di musiche et di trombe che assordavano ognano. et certo io ho havuto contentezza straordinaria di vedere una reliquia cosi insigne. Doppo desinare andai a' sp_sso per li principali luoghi della citta', vedendo le chiese, che cene sono delle belle. Andano similm(en)te in seggiola, venendomi dietro il s.r Don Giovanni nel mio carrozzino, e tutte le donne nell'altre carrozze e per tutto era il popolo numerosissimo, et per le strade et alle finestre. Questa mattina desineremo ___ (piu or qui?), poiche non habbiamo da far oggi piu di dieci miglia fino ad Assesi, et si bene il tempo sul far della luna s'e' alquanto intorbidato, spero non dimeno che non sia per guarstarsi vedendosi ai monti lontani gran quantita de neve. Scrivo questa tra con l'occasione del Cav.le Pesciolini, il quale si ne viene per far il servitio destinatoli da V.A. et il S.r Don Giovanni se n'e contentato volentieri, e mi pare che sia stata buona elezzione. Ringratio V.A. che mi habbia mandato la lettera di Corteo Cesarea, e si (n/m)ode, con mio dispiacere, che le cose di quella Dieta non vanno a' buon cammino per il servitio et per la riputatione dell Imp(erato)re come anco mi pare che si vadia imbrogliando il negotio del s.r Duca di Mantova, et che l'Amb.re di Spagne lo vorra' guidare a modo suo. et se per quella Principessina non si seguita il secondo modo proposto, cio di depositarla nella mani della madre [ripped page] [Im]peratrice, ogni altra risolutione sara' pericolosa [ripped page] __di star benissimo, et a V.A. et a Madama [ripped page] [ba]cio con ogni piu cordiale affetto le mani, come anche al Principe Don Francesco. Da Perugia alli 14 di Ottobre 1613 Il Cav.le Pesciolini si porta tanto bene in tutti i semitii di V.A. che io non posso mancare di raccomandarlo caldam(en)te alla sua gratia nelle sue pretensioni, paredome __ ogni benefitio sara' benessimo impiegato, et io ne sentiro gusto. io mene imaginai bene che il conte di Candale habeba a fare questa pace col conte tampiere perche la usanza di franzese VA non peco credere come il sole e caldo per questo pro___ VA a quardarsi bene</t>
  </si>
  <si>
    <t>the ring with which the virgin Mary was married is a relic kept in the Perugia church. Wow. |  Mention of relics pg 23</t>
  </si>
  <si>
    <t>Your Highness' letter of the 12th, which I received yesterday evening on my way back to the Palace, has brought me infinite anticipation, as I could have no greater consolation during this entire trip than to hear frequent news of Your Highness and of your good health. Yesterday, with the dispatch of the courier, I wrote to you at length, and gave you a detailed account of the honors that have been done to me in my minutes in this city. Now I have nothing else to add, except that yesterday morning I went in a chair to hear Mass in the Cathedral, followed on foot by, in addition to my usual escort of women, a good number of ladies [or gentlemen, unclear] of the city. And although the street is wide and the square very large, nevertheless so many people had gathered that the Germans had great difficulty clearing the way to go to church. I celebrate the Mass Monsignor Gon.re in the Chapel where the Ring with which the virgin was married is kept, which was shown to us with a very great devotion, and with such a din of music and trumpets that it was deafening every time. And certainly I was extraordinarily happy to see such a notable relic. After dinner I often went around the main places of the city, seeing the churches, which are beautiful. I went similarly in chairs, with Don Giovanni following me in my carriage, and all the women in the other carriages, and everywhere there were very numerous people, both in the streets and at the windows. This morning we will dine ___ (more or here?), since we don't have to travel more than ten miles today to Assisi, and although the weather became somewhat cloudy at moonrise, I nevertheless hope that it won't be spoiled by the sight of large quantities of snow on the distant mountains. I am writing this on the occasion of the Knight Pesciolini, who has come to perform the service assigned to him by Your Highness, and Mr. Don Giovanni has gladly accepted it, and it seems to me that it was a good choice. I thank Your Highness for having sent me the letter from Corteo Cesarea, and I note, to my regret, that the affairs of that Diet are not going well for the service and reputation of the Emperor, just as it seems to me that the business of the Duke of Mantua is being hindered, and that the Spanish Ambassador will want to direct it in his own way. And if the second proposed method is not followed for that little Princess, that is, to place her in the hands of the mother [ripped page] [Em]perpress, any other resolution will be dangerous [ripped page] of being very well, and I kiss the hands of Your Highness and Madame [ripped page] with the most cordial affection, as well as that of Prince Don Francesco. From Perugia, 14 October 1613 Cavalier Pesciolini conducts himself so admirably in all his dealings with Your Highness that I cannot fail to warmly commend him to your favor regarding his aspirations; for it seems to me that any benefit bestowed upon him would be most worthily bestowed—a outcome that would, moreover, give me great pleasure. Cavalier Pesciolini is so well behaved in all of Your Highness's spheres that I cannot fail to warmly recommend him to Your Grace in his requests, as it seems that every benefit will be well used, and I will be delighted.</t>
  </si>
  <si>
    <t>Noble: Don</t>
  </si>
  <si>
    <t>Dalla benignissima lettera di V.A.S. et da quanto mi ha detto la ser(enissi)ma Arciduchessa mia sig.ra:, ho inteso quanto la comanda in Materia del Cav. Pesciolini, et egli viene prontiss.mi: et contentissimo di haver occasione di servire V.A.S. et io resto honoratiss.mo: della parte che l'A.V. si e degnata di voler che io ne habbia; et quanto a quello che le posso soggiugnere in materia del viaggio, le posso replicare la continuata salute della Ser.ma Patrona, et l'ardentissimo desiderio del ritorno, ill che mi servira' per fine di questa, col fare a V.A.S. et a Madama Ser.na humilissima reverenza, pregandole da Dio somma felicita'.</t>
  </si>
  <si>
    <t>From Your Highness's most gracious letter and from what my Lady the Most Serene Archduchess has told me, I have understood what you command regarding the Knight Pesciolini, and he is coming very promptly and I am very happy to have the opportunity to serve Your Highness and I am most honored by the part that Your Highness has deigned to ask me to play in it. And as for what I can add regarding the journey, I can repeat the continued health of the Most Serene Patroness and the most ardent desire for her return, which will serve me for the purpose of this, by offering Your Highness and My Ladyship most humble reverence, praying for their greatest happiness from God.</t>
  </si>
  <si>
    <t>27-29</t>
  </si>
  <si>
    <t>1613/10/15</t>
  </si>
  <si>
    <t>Fuligno</t>
  </si>
  <si>
    <t>mentions of Assisi and relics (27)</t>
  </si>
  <si>
    <t>Ossendo io arrivata questa sera in Fuligno, ho inteso che Mons.r Marini spediva un huomo a porta a' Perugia, il quale arriverebbe qui ai tempo della partita di quel Procaccio per fiorenza, et si fa conto __ a spedir poi di la le bre per staffetta a siena, vi sarebbino il sabato, onde non ho voluto perder l'occasione di scriver questa breve lettera a V.A. non per altro, che per darle nuova di m_ pui spesso che sia possibile, non parendomi di mandar huomo __ posta, poiche oltre all'havere scritto di Perugia due volte, considero __ da questi luoghi tanto lontani, s'avantirebbe poche hore, dall'occasione del detto Precaccio, a un messaggio espresso. Mi basta dine a V.A. __ io sto benissimo, e andiamo __ allegram(en)te segnitrando anche tuttavia il tempo bello. Da Perugia, doppo haver desinato, venni a dormire in Assisi lontano dieci miglia e melli arrivare mi fermai piu d'un hora alla Madonna degli Angeli, con molta mia consolatione. Questa mattina andai alla Messa a San Franc.o e viddi tutte li Relequie. __ vi (or Dui?) sono et n_ havendo a camminare fin a Juligno piu che sette o otto miglia, desinai nella medesima citta di Assisi, e poi andai al Monasterio di Santa Chiara, per veder quel crocifissio che parlo a San Franc.o e molte reliquie. __ vi sono e per __ mi __ fu detto __ huomini della citta hanno havuto la cura di tutto il simitio della __ble, ho fatto donare una mancia di cenquanta scudi a quella gente bassa, et il medesimo credo __ bisognera fara proportunatam(en)te negli altri luoghi, et non possiamo regolarci seco___ lo stele __ si tenne nel viaggio di Madama, perche l'ordine __ tengorno hora e' interamente deverso. Nell'arrivan in queste Citta', sempre mi viene incontro parecchi miglia una compagnia di __alli, e poi la fantevia come il medesimo s'e' veduto oggi nel passare hongo le mara di spelle, e poi nell'avvincinarsi a fulegno, done sono oltata anche encontrata da Mons.r Gherardini Fio.no Gon.re della Citta', con accompagnatura di 50 o', 60. gentelhuomini a cavallo, et Mons.r Marini mi vien sempre segnitando con una sua carrozza, la quale vien detro al mio carrozzino done va il S.r Don Giovanni. Domane ci convien fare fino a Camerimo una lunga giornata, ma dicono __ la strada e' buona, et il tempo da speranza di voler durare, se bene oggi e' stato assai caldo. Vogliio __ V.A. sappia, come Mons.r Gon.re nel partir da Perugia, volevva sa pere quale haveva da essere il luogo suo, accennando del carrozzino col s.r Don Giovanni, ma nd parve a proposito, egli se desse __ quella era carrozza mia, e che tal volta mi potevo venir vogli d'entravi in quale le bella pianura, et anche il S.r Don Giovanni non n'haveva gusto. si __ ame ho detto, egli niene con la sua carozza dietro ma il S.r Don Giovanni per ricompensar questo con qualche cortesia, alle volte, sotto pretesto della conversatione, smonta del carrozzino, e si mette enquella del Gov.re e cosi tutto passa bene. Ho havuto qui un nobili incontro di gentildonne, __ ci son pui belle io nd ho veduto in tutto questo viaggio. Si Bardella veniva, buon per __, per __ c'e' abbondanza d'tordi grassi, a un quatt__ l'uno sta sera si son accesi luminari a tutte le finestre, et in piazza et per le strade, e per fine bacio a V.A. et a' Madama le mani con tutto il cuore. Da Fuligno alli 15 di Ottobre 1613</t>
  </si>
  <si>
    <t>Having arrived this evening in Fuligno, I understood that Monsignor Marini was sending a man to the door of Perugia, who would arrive here at the time of the departure of that Procaccio for Florence, and it is expected that the breeches will then be sent from there by courier to Siena, who would be there on Saturday, so I did not want to miss the opportunity to write this short letter to Your Excellency for no other reason than to give you news of me as often as possible, since I do not think it is right to send a man by post, since in addition to having written from Perugia twice, I consider that from these very distant places, only a few hours would pass, from the occasion of the said Precaccio, before an express message. It is enough for me to tell Your Excellency that I am very well, and we are going along happily, still enjoying the fine weather. From Perugia, after dinner, I came to sleep in Assisi, ten miles away, and on my way there I stopped for more than an hour at the Madonna degli Angeli, much to my consolation. This morning I went to Mass at San Francesco and saw all the relics. __ there (or two?) are and having to walk to Juligno more than seven or eight miles, I dined in the same city of Assisi, and then I went to the Monastery of Santa Chiara, to see that crucifix that I spoke of in San Francesco and many relics. __ there are and because __ I was told __ the men of the city have taken care of the entire parish of the __ble, I had a tip of one hundred scudi donated to those lowly people, and I believe the same __ should be done proportionately in the other places, and we cannot regulate ourselves according to __ the stele __ was kept on the journey of Madame, because the order __ they hold now is completely different. When arriving in these cities, I am always met by a company of soldiers several miles away, and then by infantry, as was seen today when passing through the Spelle marae, and then when approaching Fulegno, where I was also met by Monsignor Gherardini, Fio.no [?] Gonfalioniere of the city, accompanied by 50 or 60 gentlemen on horseback, and Monsignor Marini always comes to greet me with his carriage, which comes behind my little carriage. Mr. Don Giovanni is going. Tomorrow we have to travel a long day to Camerino, but they say the road is good, and the weather seems to last, even though today was very hot. I want Your Excellency to know that Monsignor Governador, when leaving Perugia, wanted to know what his place would be, mentioning the carriage with Mr. Don Giovanni, but it seemed appropriate; he told himself that it was my carriage, and that sometimes I might want to get into it on the beautiful plain, and even Mr. Don Giovanni had no taste for it. Yes, as I told you, he never takes his carriage with him, but Mr. Don Giovanni, to repay this with some courtesy, sometimes, under the pretext of conversation, dismounts from the carriage and gets into the Governor's, and so everything goes well. I had a noble meeting of ladies here, __ there are more beautiful than I have seen on this entire trip. Bardella was coming, luckily for __, for __ there is an abundance of fat thrushes, at a quarter of a minute this evening lights were lit in all the windows, both in the square and along the streets, and finally I kiss Your Highness's and Madame's hands with all my heart. From Fuligno, October 15, 1613</t>
  </si>
  <si>
    <t>L'arrivo questa sera della Ser.ma mia Patrona qui in foligno, e' stato con intera prosperita et salute, et solo pare a S.A.A che legiornate siano distribuite da Mons.r Marino, troppo brevi ma io tengo per fermo, che questo sia in consideratione del ritorno, piu che del viaggio per che sempre si accresce il desiderio di esser app___ all'A.V.S., quanto piu S.A.S. se ne allontana, et di distanza et di tempo: Domani si fara' buona giornata fina a Camenino, per che non ci sono devozione da trattenere S.A.S La quale ricorda spesso il sup.r Bardella quando qua i tordi vagliono un quattino l'uno senza haver pacienza, ma se egli arrivasse aquesti vini, credo che ricordandosi del Chianti, arriverebbe al suspiramus: Io, mi ricordo devotiss.ma ser.re. __ V&gt;A&gt;S&gt; et le foi humiliss.ma reverenza, come ancora a Madama Ser.ma poiche per brevita di tempo, nd posso se nd derarle da Dio soma felicita'. Di Foligno li 15 do Ottobre 1613</t>
  </si>
  <si>
    <t>The arrival this evening of my Most Serene Patroness here in Foligno was in complete prosperity and health, and it only seems to H.R.H. that the days are distributed by Monsignor Marino, too short but I am sure that this is in consideration of the return, more than the journey, because the desire to be close to the A.V.S. always increases, the further H.S.H. is away from us, both in distance and in time. Tomorrow it will be a good day up to Camenino, because there is no devotion to hold back H.S.H. Who often remembers the superior Bardella when here the thrushes are worth a penny each without having patience, but if he were to arrive at these wines, I believe that remembering the Chianti, he would reach the point of sighing: I, I remember most devoutly, H.R.H. __ Your Majesty and I offer you my most humble reverence, as also to your Madam Serene Highness, since due to the shortness of time, I cannot but wish to give you great happiness from God. From Foligno, October 15, 1613</t>
  </si>
  <si>
    <t>Case Nuove</t>
  </si>
  <si>
    <t>In questo luogo poco meno che deserto e' arrivato avviso al __or Vinta della Morte del S.r Cav. b. m. suo zio, cosa che veram(en)te la ser.ma Patrona ha sentito assai per il servizio di V.A.S. il quale veramente era molto complitamente esequito dalla prudenza et valore di quel fedelissimo et tanto devoto ser.re alla ser.ma Casa di V.A.S. Piaccia alla maesta de Dio che l'A.V.S. riscontri si da prudenza, come di fede, in un soggetto simile, poi che eguale veramente si puo' credere che sia quasi impossibile; et in vero che S.A.S. ne ha sentito notabili despiacere, per questo importantissimo rispetto, et io come minimo Ser.re adambeduoi, ne ho ricevuto percossa notabile, dependendo ogni mia fortuna dal servizio della Loro Altezze, et la infinita prudenza di V.A.S. bisognera' si affatichi havendo perso si fe del ser.re, attissimo a obbedire a ogni suo cenno, cosa non facile a tutti ancor che di ottima intentione, et suplico V.A.S aperdonare la prosuntione, poi che l'affetto mi ha traportato o ne la mia bassezza non doveva arrivare: pare col finireli domando humilmente per _ono facendole revere(n)za pregandole da Dio somma felicita: Dalle case nuove il di 16 d'Ottobre 1613</t>
  </si>
  <si>
    <t>In this almost deserted place, news has reached the late Vincenzo of the death of his uncle, a matter which the Most Serene Patroness has truly felt very much for the service of Your Highness, which was truly very completely carried out by the prudence and valor of that most faithful and devoted servant to the Most Serene House of Your Highness. May it please the Majesty of God that Your Highness find prudence, as of faith, in a similar subject, since the like can truly be believed to be almost impossible; and in truth, His Highness has felt notable displeasure, for this most important respect, and I, at the very least, both Lords, have received a notable blow, since all my fortune depends on the service of Their Highnesses, and the infinite prudence of Your Highness. I will have to make an effort, having lost the servant, very capable of obeying his every command, something not easy for everyone even with the best intentions, and I beg Your Highness to forgive my presumption, since my affection has carried me away or I should not have reached my lowliness: it seems that with the end I humbly ask you for your reverence, praying for the greatest happiness from God: From the new houses on the 16th of October 1613</t>
  </si>
  <si>
    <t>Camerino</t>
  </si>
  <si>
    <t>Questa mattina qui in Camenino ho ricevuta la benignissima lettera di V.A.S. restandole con perpetua obligatione dell'honore che si compiace di farmi, et insieme dandole nova della bona salute della ser.ma mia Patrona, la quale hebbe hieri un popo de pioggia, et sta con infinito desiderio di spedire il viaggio il quale fino a hora va felicissimamente co pero' non saro' piu' lungo facenda V.A.S. come ancora a Madama Ser.ma humilissima reverenza et pregandole da Dio sommo bene. Di Camerino li 17 di Ottobre 1613</t>
  </si>
  <si>
    <t>This morning here in Camenino I received the most gracious letter from Your Highness. I remain with you with perpetual obligation for the honor you are pleased to do me, and at the same time I give you news of the good health of my most serene Patroness, who had a shower of rain yesterday and is with an infinite desire to complete the journey, which up to now is going very happily, so that I will not be any longer. Your Highness, as also to My Madam Most Serene Highness, extends most humble reverence and prays to you from God the highest good. From Camerino, 17 October 1613</t>
  </si>
  <si>
    <t>Macerata</t>
  </si>
  <si>
    <t>1613/10/18</t>
  </si>
  <si>
    <t>In questo punto che la Ser.ma Patrona e' arrivata a Macerata si presenta occasione a S.A.S. di muiar sue lettere per via di Roma si come si fa indirizzandole al sig.r Ambasciatore et per che S.A.S. non ha comodita' hora di soggiugnere aquato scrisse a V.A.S. da Tolentino mi comanda di farle reverenza in suo nome et insieme darle nuova della sua ottima salute et prosperita'. et insieme di darle conto del ricevimento qui di Macerata et quale e stato tanto nobile di incontri de Gentilomini imbasciatori della citta' di fanterio di Cavallerie et di Da me che non e possibile mai far piu a S. S.ta medesima, le fanterie sono venute fino 40 miglia disorto, et sono state, di cano piu' di 6 milia et la cavall.ria almeno 8 compania archibusieri a cavallo in controdi Cavalli numeroso et piu' di 30 dame veramente belle, et benissime adobbate l'arme delle Altezze Vostre per tutto, alla porta della Citta' alla porta del Palazzo, et in case molte particolari et sempre sola che e' molto piu', in somma le Citta' suddite di V.A.S. non potevano ne pessano far da vantaggio, et con piu' comodo se ne dara' poi piu' particolar ragguaglio a V.A.S. per che hora parte il corriero per Roma; et io volentieri obedisco al comandamento di S.A.S. per haver occassione di recordarmi devotissimo ser.re a V.A.S. et farle humiliss.ma reverenza si come fu a Madama Ser.ma alla quale per mancamento di tempo non servio ma vivo bene devotiss.me ser.ve et dal sig.r Dio le desiderio il complimento di ogni loro desiderio: Di Maierata li 18 d'Ottobre 1613</t>
  </si>
  <si>
    <t>At this point, when the Most Serene Patroness has arrived in Macerata, H.S.H. has the opportunity to send her letters via Rome, as is done when addressing them to the Ambassador. And since H.S.H. is not yet able to reach her, she has written to H.S.H. from Tolentino, commanding me to pay my respects in her name and at the same time to inform her of her excellent health and prosperity. and together with giving you an account of the reception here in Macerata and which was so noble of meetings of the Gentlemen ambassadors of the city of infantry of Cavalry and of From me that it is never possible to do more to His Highness herself, the infantry came up to 40 miles away, and there were, of cano[?] more than 6 thousand and the cavalry at least 8 companies of mounted arquebusiers in contrast with numerous horses and more than 30 truly beautiful and very well adorned ladies the arms of Your Highnesses everywhere, at the gate of the City at the gate of the Palace, and in many private houses and always alone which is much more, in short the cities subject to Your Highness could not nor could do to advantage, and with more convenience it will be given later I hereby inform Your Highness more particularly that the courier is now leaving for Rome; and I willingly obey the command of His Highness to have the opportunity to express my most devout service to Your Highness and to pay you my most humble reverence, just as I did to My Lady, whom I did not serve due to lack of time, but I continue to serve most devotedly and I desire from the Lord God the fulfillment of all their wishes: From Maierata, October 18, 1613</t>
  </si>
  <si>
    <t>Tolentino</t>
  </si>
  <si>
    <t>La confidenza che ho nella cortesia di V.S. mi assicura a mandarle questa, accio mi faccia favore con prima comodita' indirezza Ha a fir.ze (Firenze) nel piu' sicuro modo, in mano al maestro della porta di S.A.S. che gliene restero obligato. Mi dispiace haver a far condoglienza con V.S. della morte repentina del nostro s.r Cav. b: m. amato da me et stimato come padre veramente et so che V.S. l'hara sentita come di suo amorevoliss.mo et che amava: non di meno quello che e' comune a tutti, si deve tolerare ancora in un particolare, poi che viene dalla mano di chi puo' et governa il tutto, ma' non si puo' gia' non lo sentire come huomo; lo prudenza di V.S. non ricerca discorso intorno acio, ma io so bene, che al Prn. (Principe) Ser.ma: resta di chi si servire, havendo V.S. tanta porte fino a hora del servizio di S.A. il che consola me, come ancora spero' fara' V.A. medesima alla questo: bacio la mano. Di Tolertino li 18 di Ottobre 1613</t>
  </si>
  <si>
    <t>The confidence I have in Your Lordship's courtesy assures me to send this to you, so that you may do me a favor with the earliest convenience. It is in Florence (Italy) in the safest way, in the hands of the Master of the Gate of His Highness, who I remain obliged to him. I regret having to offer my condolences to Your Lordship on the sudden death of our Most Reverend Knight, beloved by me and esteemed as a truly father, and I know that Your Lordship felt it as his most loving and beloved: nevertheless, what is common to all must be tolerated even in a particular, since it comes from the hand of the one who can and governs everything, but one cannot help but feel it as a man; Your Lordship's prudence does not require discussion about it, but I know well that it remains for the Most Serene Prince to whom he can make use, since Your Lordship has so many doors up to the hour of service of His Highness which consoles me, as I hope Your Highness will also do in this: I kiss your hand. From Tolertino, 18 October 1613</t>
  </si>
  <si>
    <t>1613/10/19</t>
  </si>
  <si>
    <t>36-40</t>
  </si>
  <si>
    <t>Santa Casa</t>
  </si>
  <si>
    <t>Hierisera di macerata diedi conto a VAS della salute della ser.ma arciduchessa, e del suo felice arrivo in quella citta di dove questa matt(i)na doppo havere udito la messa, e derinato un paco di buon hora parti S.A. alla volta della sta casa acconpagnata da truppe di Cavall.a e da mto: numero di gentilhomini di quella citta che mi conpag.a di Monsig.r Capponi Governatore sono venuti fin qui alla sta casa. Trovo S.A. a mezzo cammino il sig.r Cardinale Araceli il quale la riceve, e con ossequentiss.e parole gli offere la sua servita e rimontando poi mi carrozza, e volendo io andare a servirle per comand.o della ser.ma S.S. Illu.ma lo recuso per __ volte restare dietro a tutti, e ben che S.A. gli mandassi a dire __ S.S. ill.ma poteva pigliare le sue comodita e andarsene rinanzi il sig. Cardinale rispose che se S.A. __ contetava sarebbe venuto cosi dreto servendo, e che alla sta casa sarebbe poi stato a servire S.A. e questo lo se ce perche mi effetto voleva certare come resto a recanti. Per cammino ha trovato centare come resto a recanti. Per cammino ha trovato S.A. la banda di recanti mi squadrrone, e poi fra recanati, e Loreto quella d'osmo, e di Castel fidardo con gli archibusier_ de medesimi luoghi, e poi quelli di Loreto mi bonissimo numero, e tutti sono venuti aservire S.A. fin qui fuore di Recanati circa un tratto di balestra trovo S.A. a una chiesa, il sig. Cardinale Gallo, et il sig. Cardinale di Cosenza i quali fecero rev.a a S.A.S. e con mta~: cortesia sono venuto servendo con pag.a a lor S.S. illu.e nella carrozza del sig. Cardinale Gallo. Arrivata qui S.A. scavalio mi chiesa servita sempre da medesime Ill.mi Cosenza, e Gallo, et in chiesa doppo haver fatto recc.a al santissimo sacra mento S.A. su la parta del la sta: casa si messe a far ratione nd volendo [enpear drento??] prima di essere confessata, et in me__re che S.A. [oro?] si cantorno in chiesa con esquisitissima musica le solite letame che si cantano ogni salato et havendo S.A. consumato in chiesa circa __hora, e mezzo si ritiro' alle sue stanze acconpagnata senpre da medesima Cardinali: i quali doppo haver messo S.A. nella sua pp.a: camera si ritirorno, et io andai a servire prima il sig.r Cardinale Gallo fino al suo appartamento e poi cosenza fino a basso nel cortile che andava ad alloggiare fuore, e per che la molti tudine della gente. era tanta si in chiesa come in palazzo; S.A. era piu tosto con poco riscaldata che altrimenti, e pero non potendo serivere da se medesima a V.A. ha comandato a me chi seriverle g.a in suo nome, e di darle conto della sua salute del suo arrivo qui e de numerosi, e honorevolissimi ricevimenti havti da questi ill.mi qui si e' trovato il serg.te Gnle: Barignani mand.to dal ser.mo sig.r Duca d'Urbino a visitare la ser.ma e per che non sapevamo se haveva titolo d'Amb.re o no et egli o nd sapeva o nd voleva dirlo per nd errare si ha mostrato la pp.a sra del sig. Duca per la ser.ma nella quale dicendo S.A.S chi mandare esso barignani a fare con la ser.ma quell'officcio che vorrebbe fare da per se stessa habb.o consultale che trattar lo come amb.re per che per fare quell'officio che S.A. dice nella sra che vorrebbe poter fare egli medesimo nd puo essere altri che uno che rappresenti S.A.S. et essendo la ser.ma come ho detto piu tosto un poco stracchetta in dugiera a domani a dargli accd.a e lo tratteca come amb.re per le ragioni sopradette, e conforme a quanto ordino V.A. alla ser.ma chi dovergli dar subito nuova di se al suo arrivo qui ha corrand.to a me chi spedire subito arrivata qui valerio accio S.A.V sappia la sua salute, et il suo arrivo qui, dove si tratterra S.A. tt.o domani, e lunedi matt.na andra al __oci fusso chi cirolo per tornarsene qui lunedi sera, e martedi doppo vespro pensa S.A.S chi tornarsene a macerata per venirsene a trovare S.A.V nel pui spedito modo che potra desiderando sommamente per quanto si puo conoscere essere quanto p.a da V.A., e per che il cammino da Cortona a siena per la via di montepulcciano, e san qui rico e' mto. cattiva, e sarebbe anco pericolosa se piovessi punto punto per cio se V.A. sara a siena cerchera S.A.S. qual che altra strada ancor __ pui ricomoda d'alloggiars__ per venirla a trovare, e pero mi ha comandato per venirla a trovare, e pero mi ha comandato d'mandare a V.A. l'richesa nota di viaggio stataci data qui da Vetturine, e altre pratichi del paese, e per che dovendo fare questa strada sara forse necessario fare accomodare in qual che luogo le strade la ser.ma prega V.A. acomandare che sieno accomodate se pero S.A.V si contentera che si faccia q.a strada, et anco la prega a fargli sapere se la dovera a Cortona hientiare i vescovi, egli altri gentilhomini che andorno da per loro per quel cammino o se la vorra che gli conduca seco a siena. questo e' gn'to per comandato della ser.ma devo dire a V.A. alla quale col fine di questa fo humilissima recc.a nd sapendo ne potendo sogguignerle altro per _- l'hora e si tarda __ io nd posso piu dire, e lo scrittore nd puo piu serivere, e pero' fi___ promettendole domatt.na nella sta casa di pregare S. D. M. per ogni accresamento di gloria, e di selicita di V.A.S della sta casa a 19 d'obre: 1613 a ore 8 di notte</t>
  </si>
  <si>
    <t>Yesterday evening in Macerata I reported to Your Highness the health of the Most Serene Archduchess and her safe arrival in the city where she attended mass this morning. After a short lunch, Her Highness left early for this house, accompanied by cavalry troops and a number of gentlemen from that city who, in honor of Monsignor Capponi, the Governor, have come all the way to this house. I found Her Highness Cardinal Araceli halfway along the way, who received her and, with the most obsequious words, offered her his service. As he then remounted my carriage, I wanted to go and serve her at the command of Her Most Illustrious Highness. I stopped him several times and stayed behind everyone, and although Her Highness sent word to him, Her Highness Your Excellency could take his time and go ahead. The Cardinal replied that if His Excellency __ wanted to, he would come straight away serving, and that he would then go to this house to serve His Excellency, and this is because he wanted to ascertain how much I left to carry. On the way he found a center as much as I left to carry. On the way he found His Excellency the Recanti band, my squadron, and then between Recanati and Loreto the one from Osmo, and from Castel Fidardo with the arquebusiers. of the same places, and then those of Loreto, a very good number, and they all came to serve His Highness. Up to here outside of Recanati, about a crossbow distance away, I found His Highness in a church, Mr. Cardinal Gallo, and the Cardinal of Cosenza who paid a visit to His Highness and with great courtesy I came serving with pay to their illustrious Highnesses in the carriage of Mr. Cardinal Gallo. Having arrived here, His Highness ditched my church, always served by the same Illustrious Cosenza and Gallo, and in the church after having paid a visit to the Most Holy Sacrament, His Highness on the side of the house began to give reason and wanting to [enter inside??] before being confessed, and in the meanwhile that His Highness [gold?] they sang in the church with exquisite music the usual songs that are sung every Sunday and after His Highness had consummated in the church for about an hour and a half, he retired to his rooms accompanied by the same Cardinals: who, after having placed His Highness in his private room, retired, and I went to serve Cardinal Gallo first. up to her apartment and then Cosenza down to the courtyard where she was going to stay outside, and because the crowds were as large both in the church and in the palace, Her Majesty was rather poorly heated than otherwise, and therefore unable to serve Your Majesty herself. He ordered me to serve you in his name and to give you an account of his health, his arrival here and of the numerous and most honorable receptions he has received from these illustrious people. Sergeant Gen. Barignani was here, sent by the Most Serene Lord Duke of Urbino to visit His Excellency and because we did not know whether he had the title of Amb. or not and he either did not know or did not want to say it in order to err, the Duke's letter was shown to His Excellency in which His Highness, saying who to send this Barignani to perform with His Highness the office that he would like to perform on his own, I consulted him to treat him as an Amb. so that in order to perform the office that His Highness says in the letter that he would like to be able to do himself, it can be none other than someone who represents His Highness and As I said, Your Excellency is rather a little tired and is delaying until tomorrow to welcome him and treat him as a guest for the reasons mentioned above, and in accordance with Your Excellency's order to give him news of himself immediately upon his arrival here, He has sent me the person to send Valerio here immediately upon his arrival so that Your Excellency may know his health and his arrival here, where His Excellency will remain. all tomorrow, and Monday morning I will go to the ____________ to return here Monday evening, and Tuesday after vespers His Excellency is thinking about returning to Macerata to come and visit His Excellency in the quickest way possible, desiring very much, as far as can be known, how much time it takes for Your Excellency to arrive, and because the journey from Cortona to Siena via Montepulciano and San Querico is very bad, and it would also be dangerous if it rained at all, therefore if Your Excellency is in Siena, His Excellency will look for some other road still more convenient to stay in order to come and visit you, and therefore He has ordered me to come and visit you, and therefore He has ordered me to send to Your Excellency the requested travel note given to us here by Vetturine, and other practical of the country, and since this road must be built it will perhaps be necessary to arrange the roads in some place, Your Excellency asks Your Excellency to order that they be arranged, if however Your Excellency will be satisfied with this road being built, and also asks you to let him know whether he will have to address the bishops and other gentlemen who are going by that route in Cortona or whether he will want me to take them with him to Siena. This is by order of Your Excellency and I must tell Your Excellency. to whom, with the purpose of this most humble letter, I address you, knowing and not being able to add anything else because of the hour and delay, I cannot say more, and the writer cannot serve you any more, and therefore I promise to pray to His Majesty the Most High tomorrow morning in this house for every increase in the glory and happiness of Your Highness of this house on the 19th of October 1613 at 8 o'clock at night</t>
  </si>
  <si>
    <t>Baroncelli, Cosimo</t>
  </si>
  <si>
    <t>Maccerati(?)</t>
  </si>
  <si>
    <t>La morte del sig. Cav.le Vinta cosia in Cielo e' dol__ta universalmente e la ser.ma a questa trista novella piu __ amaramente, ett.a la corte di S.A. l'pasentita nell'anima ma al fine bisogna consotare e confor__nar si con la volonta d'una, e con la speranza __ il ser.o del ser.mo prone: scabbia negotio modo a md patrir; come si crede per la delegete vera di V.S. la quale piu stare ______ della buona voluta __ l' porta S.E. come havre veduto dalle sue ___ stesse, et io mi ___ poi a __ piacendo __ ___ qual __ all__ cosa da vantaggio, e vi tanto li bacio la mano raccomandonole il recipito ___ aggiunta op___ moglie d Maccera a 19 d'O.bre</t>
  </si>
  <si>
    <t>The death of the Knight "Vinta" so in Heaven is universally mourned and the Most Serene Highness' court has felt this sad news more bitterly, but in the end it is necessary to console and conform with the will of one, and with the hope of the Most Serene Highness's servant: it is a matter of negotiation with my father; as is believed by the true delegation of Your Lordship which, more than the good will, His Excellency bears, as you will have seen from your own, and I then, if you please, will consider what is of benefit to the matter, and I kiss your hand so much, I recommend the receipt to you. Added by his wife of Maccera on October 19th.</t>
  </si>
  <si>
    <t>Per comand.to della ser.ma in questo punto che sono vicino alle nove ore di notte spedisco Val.o corr.re con questo pl__ per V.S. dove sono sre, per loro Alt.re alle quali le dara in per a mano facendo loro rev.a per me, come anco all'ecc.me Pr.pe. Don Francesco al quale nd servo per __ l'hora e si tarda le nd me ne darebbe il cuore V.S. in inpetierra perdono da s.e. e proccurera di corse recar mi la gratia di loro Alte.za et a le bacio la mano della sta: casa a 19 d'Obre 1613 a nove ore di notte</t>
  </si>
  <si>
    <t>By command of Your Excellency, at this moment when it is almost nine o'clock at night, I send Val.o to run with this letter to Your Lordships where I am, to their Highnesses to whom I will give it by hand, making a reverence for me, as well as to His Excellency Prince Don Francesco, to whom I am serving for the hour and if it is late, he will give me his heart, imploring Your Highness' pardon and will endeavor to run and convey to me the grace of Your Highness and to kiss the hand of His Holiness at home on the 19th of October 1613 at nine o'clock at night</t>
  </si>
  <si>
    <t>1613/10/24</t>
  </si>
  <si>
    <t>Io ricevero' per favore della cortesia di V.S. che questo pieghetto sia mandato a firenze al S.r mio delle perole ____ di S.A.S. et restiro obligat.m a V.S. di tal piacere perche la comandi a mi congni liberta: La prego a fare per me reverenza il s.r Principe Don Francesco et a recondarneli serviro sempre che mi comandi et le baci la mano di _____gno li 24 di Ottobre 1613</t>
  </si>
  <si>
    <t>I will receive, through Your kindness, that this envelope be sent to Florence to my Lord of the Perole ____ of His Highness and I remain obliged to Your Highness for this pleasure so that He may command me to release it to You. I beg you to do me homage to His Highness Prince Don Francesco and to remind him that I will always serve to command me and kiss your hand of _____gno the 24th of October 1613</t>
  </si>
  <si>
    <t>Valerio Cor.to e ____ D. S. A. __dua a dormire ma la letto le lre, e amandatmi di dir a V.A. D ne avuti la ricevuta al Ser.ma Patrone, nd essendoci D soggiug__, et il medesimo. Invio per parte del __ Don Giovanni, che baci la mano. Da Fulignio alli 24 di Ottobre 1613</t>
  </si>
  <si>
    <t>Valerio Cor.to and ____ D. S. A. __to go to sleep but I read the letters, and asked me to tell Your Highness D. D. I have received the receipt from the Most Serene Patron, and since D is there, he adds__, and the same. I send on behalf of __ Don Giovanni, who kisses your hand. From Fulignio on October 24, 1613</t>
  </si>
  <si>
    <t>the day of the Madonna of Angels</t>
  </si>
  <si>
    <t>Il continuato honore che V.A.S. si degna farmi con le sue lettere mi porge occasione di farle reverenza di qui di Fuligno dove e' arrivata questa sera a 22 hore la ser.ma Patrona con intera salute, et con infinito gusto di esser gia incaminata per il ritorno, non havendo cosa che possi per fozzinare il suo gusto, se non la presenza di V.A.S Domani andera' a Montefalco a vedir un corpo santo della B.a Chiara et poi domani partendo passera et pigliera il _iubileo venuto __ giorno da S. S.ta per la madonna della angeli et la sera arivera a Perugia, et per che S.A.S. medesima piu' a lungo ne serne a V.A.S. ame bastera haver pagato questo doppio debito, et farle humilissima reverenza si come fi ancora e Madama Ser.ma pregandole da Dio sommo bene
Di Foligno li 24 di Ottobre 1613</t>
  </si>
  <si>
    <t>The continued honor Your Highness deigns to bestow upon me with your letters gives me the opportunity to pay my respects from here in Fuligno, where the Most Serene Patroness arrived this evening at 10:00 PM in perfect health and with infinite joy at having already begun her return journey. There is nothing I can do to satisfy her desire except the presence of Your Highness. Tomorrow she will go to Montefalco to see the holy body of Blessed Clare, and then, leaving tomorrow, she will pass by and celebrate the jubilee that came this morning from Your Highness for the Madonna of the Angels, and in the evening she will arrive in Perugia. Since Your Highness will remain with You for a longer time, it will be enough for me to have paid this double debt and to offer her most humble reverence, as I still do, and My Most Serene Lady, praying for the highest good of God.
From Foligno, October 24, 1613</t>
  </si>
  <si>
    <t>47-52</t>
  </si>
  <si>
    <t xml:space="preserve">Martedi alli 22 doppo desinare, ero partita d'un quarto d'hora dalla santa casa, quando mi riscontro Pietro Tedesco mio serv.re et mi  presento la lettera di V.A. de 18 la quale io lessi subito con infinito mio gusto, non potendo havere il maggiore in questo viaggio, che quando ho buone nuove di lei, et da lei stessa. Doppo il ragguaglio che l'A.V. havra havuto dalle mie lettere ultime, spedite per Valerio Corriero, con le quali le diedi anche avviso della visita fattami dal S.r Duca d'Urbino mediante la persona del Barignani suo sergente Qenerale, poiche il Marchese di Monte Baroccio destinato prima a questo effetto fu impedito da indespositione sopraggiuntali, mi resta a dirle, come io mandai, pur di Loreto, il Conte Francesco Torelli a amplire col medesimo S.r Duca, con la Sig.r Duchessa, et col d.r Principe, et in compagnia sua andarono il Cav.le Gondi, et Bartolomeo Minucci. Non potetti far altrimente di viaggio di scirolo a visitar quel crocifesso, perche una grandissima pioggia che si messe doppo il mio arrivo in Loreto, la qual duro due notti e un giorno, non solamente allago' una gran campagna per dove s'haveva da passare, ma porto anche via il ponte da quella banda. In quel cambio attesi a peguentare li devotioni della santissima casa, con tanto giubilo spirituali, __ non lo saprei esprimer mai, et l'ultima mattina vi presi di nuovo il santissima sacramento. Me ne vienni la sera a Macerata, dove hebbi i medesimi incontri di molte nobilta', et parecchi carozze di dentildonne. Ho ben cercato di spiggire in questo mio ritorno gli incontri di cavallerie et fanteria, sotto pretesto di non voler der loro possia fatica, havendo io veduto tutto questo soldatesca mentre andavo in le ma la verita' e' ch'io l'ho fatto per evitare i disordini che ne potevano nascere, come pur n'e' nato uno all'entrar in Loreto. Venivano con Mon. S.r Capponi Gon.e delle Marca docici soldati corsi archibusieri, per su accompagnatura. Questi per troppa volonta' di passar innanzi, aminciarono alle archibusate, si __ intendo ___ vi fu morto un soldato di quelli di Loreto, perche i corti (or corsi) havevano gli archibusi caricati a palla, e gli altri a salva, ma il romore fu subito quietato, e non fu altro. Il secondo giorno desinai in Tolentino, et venni a dormire in un piccolo castelluccio murato, __ si chiama la Muccia, in un buono alloggiamento, dove gia' poso Papa Clemente P.o nell andare a Ferrara, et la mia accompagnatura, pur che i necessarii, si distribui per due o tre Borghi de quella valle, innanzi e indietro, et questa sera son venuta in Fuligno, done ho fisegnato d'andar domattina alle devotioni di Montefalco, et domandasera tornarmene qui. Qia' ho havuto da S. S.ta il Breve dell'Indulgenza plenaria per quando io passero alla Madonna degli Angeli, non solamente per la persona mia, ma per tutta la mia gente, et per altri che allora saranno con me. Andero' a questa devotion sabato mattina, et doppo la comunione et il desinane, me n'andero la sera a Perugia. Ira gli altri __ mi hanno incontrato con soldatesia, e' stato il colonnello Rinieri sensi Perugiano, soldato vecchio, il quale e Commessario di tutta la Cavalleria dell'Umbria, della Marca, e di qualche altra provincia, e m'incontro con quattro compagnie di cavalli ben alli'ordine, se bene vedendo io, ch'egli mi voleva segnitare fino a Loreto, gli feci dire che bastava una compagnia, e che lo pregano a licentiare le altre, come fece. Intendo che egli voleva venire con questa gente ad incontrarmi sin a confini dello stato ecclesiestico, et anco sin quini raccompagnarmi, ma non l'ha fatto per non esser molto amico di Mons.r Marini, il quale percio in Loreto l'ha licentiato, accio non venga piu innanzi. A questo buon soldato ch' s'e' portato me__ tanto bene, et __ intendo esser devoto sem.le di V.A. me' parso di usar qualche amorevolezza, __ cosi ha anche giuducato necessario il s.r Don Giovanni, e pero gli ho fatto donari una catena di circa ottanta scudi. Non ho voluto altrimenti nel ritorno far la strada di camenino, non ostante che quel Gon.re mandasse a' Loreto un Cav.le a posta per farmene grandissima instanza, perche oltre all'essere il cammino piu lungo, le strade quasi per tutto hanno da una banda un precipitio che spaventa ognuno. Mandai nel venermene a' visitare li due Cardinali __ mi havevano incontrato et honorato, cioe' ad Aracili Vincezio Salviati, et a Costanza Giulio Vitelli, poiche l'uno e su la strada, e l'altro poche miglia lontano. Mi par cosa notabile, et particolar favore del cielo, che nell' andare, non ho mai havuto pioggia in tutto il viaggio: arrivata in Loreto, il tempo s'e' spogato con acque roninosissime, tuoni e baleni, et il giorno innanzi ch'io partessi si racconcio, per dare spatio alle strade di asciugassi, et hora par che voglia seguitare piu bello che mai.(li or ci) aggiungo la mia ottima salute, et una letizia di cuore si grande, che non mi manca altro se non la presenza di V.A. Alla quale debbo dire ancora, che quando io le scrissi con l'ultima, per sapere si havervo da licenziare iin Cortona questa Gentilhuomini Fiorentini, e stato penetrato da loror, et col s.r Don Giovanni, et con altri hanno mostrato desiderio grande di accompagnarmi fino a siena, et qualche disgusto se fusse lor comandato in contrario, onde a me parrebbe che si potesse dar loro questa sodisfazzione. Mi rimetto non chi meno alla volonta di V.A. et con ogni piu cordiale affetto le bacio la mano. 
Da Fuligno alli 24 di Ottobre 1613. io ho sentito con gran gusto che VA me scrive che i __enosi aparec___ qualcose di feste basta che sia qualcose che dia gusto a VA adesso che siamo di ritorno la magior marte delle mie dame di cavalarizza sono di ventuti ballerino come anco delle altre __mi ballano la corente et quale ___ __na con febre ma spero che guarirano praesto io sto bene ___ime et non me manca altro si non la praesentia gli VA </t>
  </si>
  <si>
    <t>On Tuesday the 22nd, after dinner, I had left the Holy House a quarter of an hour ago when my servant Pietro Tedesco met me and presented me with Your Highness' letter of the 18th, which I read immediately with infinite pleasure, since I cannot have anything greater on this trip than when I have good news from you, and from you yourself. After the information that Your Highness You will have received from my last letters, sent by Valerio Corriero, in which I also informed you of the visit made to me by His Royal Duke of Urbino through the person of Barignani, his General Sergeant. Since the Marquis of Monte Baroccio, who was originally assigned to this purpose, was prevented by an illness that had come upon him, it remains for me to tell you that I sent Count Francesco Torelli from Loreto to visit the same His Royal Duke, with the Duchess, and with the Prince, and in his company went the Knight Gondi and Bartolomeo Minucci. I could not otherwise make the journey to visit that crucifix, because a very heavy rain that began after my arrival in Loreto, which lasted two nights and a day, not only flooded a large area where I had to cross, but I also took the bridge away from that side. In that exchange I devoted myself to following the devotions of the most holy house, with such spiritual joy that I could never express it, and on the last morning I again received the most holy sacrament. I returned in the evening to Macerata, where I had the same encounters with many nobility, and several carriages of gentlewomen. I tried hard to avoid encounters with cavalry and infantry on my return, under the pretext of not wanting to tire them out, having seen all this soldiery while I was going there, but the truth is that I did so to avoid the disorders that could arise, as one did when entering Loreto. Twelve Corsican soldiers, arquebusiers, came with Monsignor Capponi, Governor of the Marches, to accompany him. These, with too much desire to get ahead, began to fire arquebuses, yes ___ I understand ___ a soldier of those from Loreto was killed, because the courts (now Corsicans) had their arquebuses loaded with bullets, and the others with blanks, but the noise It was immediately calmed down, and nothing else happened. The second day I dined in Tolentino, and came to sleep in a small walled castle, called Muccia, in a good lodging, where Pope Clement VIII already stayed on his way to Ferrara, and my escort, provided it is necessary, is distributed through two or three villages in that valley, back and forth. This evening I came to Fuligno, from where I planned to go tomorrow morning to the devotions of Montefalco, and ask to return here in the evening. Now I have received from Her Blessed Mother the Brief of Plenary Indulgence for when I pass by the Madonna degli Angeli, not only for myself, but for all my people, and for others who will be with me then. I will go to this devotion on Saturday morning, and after communion and dinner, I will leave in the evening for Perugia. Among the others __ I was met by soldiers, it was Colonel Rinieri, a Perugian, an old soldier, who is the Commissioner of all the Cavalry of Umbria, of the Marches, and of some other provinces, and I met him with four companies of horses well in order, if I saw well, that he wanted to sign me over to Loreto, I told him that one company was enough, and that they asked him to dismiss the others, as he did. I understand that he wanted to come with these people to meet me as far as the borders of the ecclesiastical state, and even accompany me there, but he did not do so because he is not a good friend of Monsignor Marini, who therefore dismissed him in Loreto, so that he will not come forward again. To this good soldier who has behaved so well towards me, and who, I understand, is always devoted to Your Highness, I thought it appropriate to show some kindness, and Mr. Don Giovanni also deemed it necessary, and therefore I gave him a chain worth about eighty scudi. I did not want to go the Camenino road on my way back, even though the Gonfaloniere sent a knight to Loreto on purpose to make a great request to me, because in addition to being the longest route, the roads almost everywhere have a precipice on one side that frightens everyone. On my way back I sent to visit the two Cardinals who had met and honored me, namely, Vincezio Salviati to Aracili and Giulio Vitelli to Costanza, since the former is on the road, and the other a few miles away. It seems remarkable to me, and a particular favor of heaven, that while traveling, I never had any rain during the entire trip. When I arrived in Loreto, the weather changed, with very heavy rains, thunder, and lightning, and the day before I left it improved to give the roads time to dry, and now it seems that it will continue more beautiful than ever. I add to this my excellent health, and such a joy of heart that nothing else is missing except the presence of Your Excellency. To whom I must also say that when I wrote to you last, to find out if I should dismiss these Florentine gentlemen in Cortona, I was penetrated by them, and with Don Giovanni and others they expressed a great desire to accompany me to Siena, and some dislike if they were ordered otherwise, so it seems to me that this satisfaction could be granted. I submit myself none the less to Your Excellency's wishes and with all the most cordial affection I kiss your hand.
From Fuligno, October 24, 1613. I heard with great pleasure that VA wrote to me that the __enosi aparec___ something festive as long as it is something that gives pleasure to VA I heard with great pleasure that VA writes to me that the __enosi appear___ something festive as long as it is something that gives VA pleasure now that we are back, most of my ladies of the cavalry are twenty-one dancers as well as the others __they dance the current and which ___ __na with fever but I hope they will get better soon I am well ___me and I do not lack anything other than the presence VA</t>
  </si>
  <si>
    <t>mention of crucifix pg 47; I am missing nothing but your presence //
I am in want of nothing but you //
I have everything I need except you</t>
  </si>
  <si>
    <t>1613/10/00</t>
  </si>
  <si>
    <t>Per ubibidire al Comandamento fattomi, daro' nuova a V.A.S. dell'intera salute et salvo arrivo qui in Cortona della Ser.ma Archiduchessa mia sig.raa ha quale gode di questo bel tempo, poi che spera che gli sara' buon mezzo di esser presto alla presenza di V.A.S. et perche S.A.S. medesima scrive, Io come humilissimo ser.re hon. ho che soggiugnere se non la mia ossequentissima devotione nel servire V.A.S. et l'Altezza ma, pero' senza piu' le fo humilissimo reverenza si come a Madama Serenissima poi che ne ho tempo a far mio debito et dal S.r Dio le desidero somma felicita'</t>
  </si>
  <si>
    <t>In obedience to the Commandment given to me, I will inform Your Highness of the complete health and safe arrival here in Cortona of the Most Serene Archduchess, my lady, who is enjoying this fine weather, since she hopes that it will be a good opportunity for her to be soon in the presence of Your Highness and because Her Highness herself writes, I, as a most humble ser. hon. have nothing to add except my most obsequious devotion in serving Your Highness and His Highness, but, without further ado, I offer you my most humble reverence as to My Lady Serene Highness since I have time to do my duty and I wish you the greatest happiness from the Lord God.</t>
  </si>
  <si>
    <t>Paul V</t>
  </si>
  <si>
    <t>Dilecta in christo filia Nobilis mulier, salutem, et Apostolicam benedictionem. Cum intellexerimus pium Nobilitatis tua consilium visitandi sancti _imam Lauretanam Domum; pro singulari erga te nostra paterna charitatis affectu mandavimus venerabili fratri Dominico episcopo Albinganensi civitatis nostra Perusina, ai Provincia nostra Umbria Gubernatori, er ti di obucam venizet pherima' __ salutem nostro nomine ninciaret. Is tibi cuncta nostra tang. filia unica in xp'o dilecta amantissime defecet, prastabit_ diligentissime obsequia sua, ac per totam nostram ecclesiasticam diti onem Nobilitatem tuam vigiar comitabitur; comprobaturus officiis, quod de nostro ineffabilem misericordiam benignus nobilitati tua concedat fuctum desideratum sancta huius tua peregrinationis; quam ve i__cundinem comitatu suo Angeli sancti piar cogitationum excitatoris reddant Tibi optamus, cui Apostolicam benedictionem nostrame pera manter imparti mur Da__ Roma apud S(anc)tam Mariam Maiorem sub anulo piscatoris Pridie Halend. Octobris M.D.C.Xiii Pontificatus Nostri anno Nono
Petrus Stroza</t>
  </si>
  <si>
    <t>Beloved daughter of a noble woman in Christ, greetings and Apostolic blessing. When we understood the pious plan of your Nobility to visit the holy _imam Loretanam House; for our singular paternal affection towards you we have commanded the venerable brother Dominic, bishop of Albigensian our city Perusina, ai Governor of our Province Umbria, er ti di obucam venizet pherima' __ greetings in our name ninciaret. He will give you all our tang. daughter only in xp'o most beloved lovingly, will most diligently fulfill his duties, and throughout our entire ecclesiastical wealth your Nobility will be vigilant and accompanied; proving by his duties that out of our ineffable mercy, kind to your Nobility will grant the desired fuctum of this holy pilgrimage of yours; which ve i__cundinem kompanie suo holy Angels piarotium thoughtimatoris return to you we wish, to whom we will give our Apostolic blessing for our sake. Given in Rome at S(anc)tam Maria Maiorem under the ring of the fisherman on the previous day of Halend. October 13, 1900, in the ninth year of our Pontificate
Peter Stroza</t>
  </si>
  <si>
    <t>Where they stopped and who received them on their journey</t>
  </si>
  <si>
    <t>57-58</t>
  </si>
  <si>
    <t>this should be in the 1616 section</t>
  </si>
  <si>
    <t>1616/11/01</t>
  </si>
  <si>
    <t>Borghese nel discorrere mi ha mostro di dubitare, che la venuta costa' di Paolo Giordano, et de fratelli possa s___bare la quiete, et la sodisfatione, che S.A.S. si andava pigliando in far questo viaggio a suo modo senza servitu', et intrighi per pura devotione, et me ha accennato che fra lui, et Mons.r Diaz fussero nate differente per causa di precedenza, et che hanno ordinato a Mons.r Diaz, che fuori della provincia, dove egli e' Gov.re, la dia a Paolo Giordano, ma'nella Provincia, dove egli e' Gov.re, non sendo quello un govern__ ordinario, et portando, come d_iono, la mozzetta, et sendo anco Vescovo, non gli pare ragione, che egli habbi a' dare la precedenta a'uno, che e' vassallo della Chiesa, et mi ha soggiunto che crede, che S.A.S. habbia indinato, che Mond.re Diaz l'assista, et vadia sempre con lui per sp__gg__ inconvenienti, et disordini in questo genere, perche accomodate che son le cose con Mons.re Diaz, altri non havia a' venire con gli altri Gov.re de luoghi, et delle Provincie a' questi indevidu__ | Confermatione di Mons.re Diaz
sig.re Paolo Giordano
Alfiere Ciamponi
Indulgenza
Al_ Cardinale Verallo, che non possa essere rimosso da' quel Convento da Superiore al___ inferiore a S.S. Hum., la quale invii la concessione al__ Cardinale de Medici</t>
  </si>
  <si>
    <t>Borghese, in his conversation, showed me that he doubted that the arrival of Paolo Giordano and his brothers could disturb the peace and satisfaction that His Highness was taking in making this journey in his own way without servitude and intrigues out of pure devotion, and he hinted to me that there had been a difference between him and Monsignor Diaz over precedence, and that they had ordered Monsignor Diaz to give precedence to Paolo Giordano outside the province where he is Governor, but in the province where he is Governor, since he is not an ordinary governor, and since he wears the mozzetta, as they do, and is also a Bishop, it does not seem right to him that he should give precedence to someone who is a vassal of the Church, and he added to me that he believes that His Highness he has ordered that Monsignor Diaz assist him and always go with him to avoid inconveniences and disorders of this kind, because once things are resolved with Monsignor Diaz, no one else will have to come with the other Governors of the places and Provinces to deal with these individuals. | Confermatione di Mons.re Diaz
sig.re Paolo Giordano
Alfiere Ciamponi
Indulgenza
Al_ Cardinale Verallo, che non possa essere rimosso da' quel Convento da Superiore al___ inferiore a S.S. Hum., la quale invii la concessione al__ Cardinale de Medici</t>
  </si>
  <si>
    <t>Proposit.ne del Raffe de Medici
Nel primo ingresso di questo suo stato entrando dalla Terra del sole, la prima Banda, per il territorio della quale dovra' passare sara' la Banda di Castrocaro, la quale per l'ordinario non si usa mai mettere insieme tutta, ne anco nelle rassegne generali, ma e' sempre divisa in tre rassegne, cioe' Castrocro, Modigliana, et Marradi; Aquella di Castrocaro compareranno 250 soldati l piu', a' quella di Modiglian_, che e' piu' qua' otto miglia circa 400, eta' quelle di Marradi, che e' piu qua' altre 10 miglia, compariranno circa 500 Se S.A.Si contentera' di vederle in passando separando separate secondo il solito loro, sara' con manco incommodo, et spesa de soldati, et con manco perricolo di disordini, et di confusione, poi che' dovendo gran parte venir di lontano 15 miglia, et 20, bisognera' che alloggino al coperto, sendo d'inverno, et paesi al pestri, et in luoghi stretti, et difficili a' trovare alloggiamenti bastanti per la gente, che sara' con S.A.
Pero' se havessi a fare io, quella parte di Castrocaro non vorrei se ne facesse mostra apparente, con la bandiera, et con l'ordinanza, per essere apunto la Terra del sole, et Castrocaro tanto in sul confino che per questa occ.ne vi concorreranno molti forestieri, i gli presupporranno, che quella piccola parte di soldati sia tutta quella banda, et vedendo quella bandiera con si poca gente in una occ.ne tale, potrebbono molti da' questo esempio dubitare, che le Bande di S.A. non fussino cosi numerose di soldati, come e' la fama, et come sono con effetto, et pero' di questa cosi piccola parte crederei, che noi patessimo farei honore piu' tosto, con dare ordine a' quel Cap.no di fargli venir tutti alla Terra del sole, et fargli apparire quivi scompartiti in corpi di guardie alle porte, et alla piazza, come se fussino il presidio ordinario, et per commandare l'altre due parti di Modigliana, et di Marradi, sarebbe necess.o, che il cap.no della Banda fusse avvisato due, o' tre giorni innanzi delle giornate, et posate destinate per il viaggio, et questo e' quanto mi viene in consideratione, volendo S.A. far la strada ordinaria dalla Terra del sole a' Marradi, Ma se per commodita' delle carrozze, volesse fare la strada di Forenza, bisognerebbe far la mostra della parte di Modigliana, et di Marradi, Tutti insieme a_ Marradi Passato marradi S.A. entera' nel Territorio della Banda di Magello alla destinata, che facilmente sara' a Ronta per venire ad alloggio a' Pratolino, che per essere i giorni tanto corti, et strade, che le carrozze mal volentieri posson volare, poco potra' badare S.A. in luogo nessuno, ne vi puo' essere luogo commodo da mostrargli tal Banda, se non in passando dal Borgo a' San Lorenzo di  qua'' da Ronta cinque miglia, oltre che la parte della Montagna di Firenzuola, che e' la meta' della Banda, saranno la maggior parte in Maremma, che percio' crederei, se S.A. havesse gusto di vederla una volta, differisse a' vederla piu' a posato animo, et piu' intera, et con piu' sua sodisfattione una volta, quando fusse alla sua villa di Cafaggiuolo.</t>
  </si>
  <si>
    <t xml:space="preserve">Proposal of Raffaele de' Medici
On the first entry into this state, entering from the Terra del Sole, the first band through whose territory he will pass will be the Castrocaro band. This band is usually never assembled together, not even in general reviews, but is always divided into three groups: Castrocaro, Modigliana, and Marradi. At that of Castrocaro there will be more than 250 soldiers, at that of Modigliani, which is eight miles further away, about 400, and at those of Marradi, which is another 10 miles further away, there will be about 500. If His Highness is content to see them passing separately as usual, it will be with less inconvenience and expense for the soldiers, and with less danger of disorder and confusion, since most of them will have to come from 15 or 20 miles away, and it will be necessary for them to lodge under cover, it being winter, and the countries are in the countryside, and in narrow places, and difficult to find sufficient lodgings for the people who will be with His Highness.
But if I had to do it, I would not want that part of Castrocaro to be made an obvious display, with the flag and with the ordinance, because it is precisely the Land of the Sun, and Castrocaro is both on the border and for this occasion many foreigners will flock there, they will assume that that small part of the soldiers is the whole band, and seeing that flag with so few people in such an occasion, many could doubt from this example, that the Bands of His Highness were not as numerous in number as is reported and as is in fact the case, and therefore I believe that we would rather honour this very small part by giving orders to that Captain to have them all come to Terra del Sole and have them appear there divided into guards at the gates and in the square, as if they were the ordinary garrison. And to command the other two parts of Modigliana and Marradi, it would be necessary for the Captain of the Band to be notified two or three days in advance of the days and days allocated for the journey, and this is what comes into consideration for me, His Highness wishing to take the ordinary route from Terra del Sole to Marradi. But if, for the convenience of the carriages, He wished to take the Forenza road, it would be necessary to make a show of the Modigliana and Marradi parts, all together at Marradi. Having passed Marradi, His Highness will enter the territory of the Band of Magello for the designated person, who will easily be in Ronta to come to lodge in Pratolino, which, since the days are so short, and the roads are so difficult for carriages to fly, His Highness will be able to pay little attention to any place, nor can there be a convenient place to show him this Band, except by passing from Borgo a' San Lorenzo on this side of Ronta five miles, in addition to the part of the Mountain of Firenzuola, which is half of the Band, will be mostly in Maremma, which is why I would believe, if His Highness had the pleasure of seeing it once, he would postpone seeing it more calmly, more completely, and to his greater satisfaction once, when he was at his villa in Cafaggiuolo. </t>
  </si>
  <si>
    <t>de' Medici, Raffe(aelo)</t>
  </si>
  <si>
    <t>ASF, Mediceo del Principat, Fol  6099.</t>
  </si>
  <si>
    <t>1628/01/15</t>
  </si>
  <si>
    <t>Gonzaga, Maria</t>
  </si>
  <si>
    <t>I had to look up who the duke and duchess of Mantua at this time were and I'm sure about Maria and pretty sure about Charles</t>
  </si>
  <si>
    <t>1628/01/21</t>
  </si>
  <si>
    <t>Madama is always CL</t>
  </si>
  <si>
    <t>The duke signs off as "cugino" to CL</t>
  </si>
  <si>
    <t>1628/03/29</t>
  </si>
  <si>
    <t>Ruler: Principe di Mantova</t>
  </si>
  <si>
    <t>Gonzaga, Carlo (Charles II)</t>
  </si>
  <si>
    <t>Gonzaga, Carlo (Charles I)</t>
  </si>
  <si>
    <t>1628/03/30</t>
  </si>
  <si>
    <t>da Verrazzano, Baccio</t>
  </si>
  <si>
    <t>1628/04/10</t>
  </si>
  <si>
    <t>1628/04/06</t>
  </si>
  <si>
    <t>1628/04/12</t>
  </si>
  <si>
    <t>Agnello, Giulio</t>
  </si>
  <si>
    <t>Either to MM or to CL, it is tough to tell</t>
  </si>
  <si>
    <t>Nerli, Francesco</t>
  </si>
  <si>
    <t>1628/06/13</t>
  </si>
  <si>
    <t>1628/06/17</t>
  </si>
  <si>
    <t>1628/06/18</t>
  </si>
  <si>
    <t>the bottom left corner says Madama so this is my best guess</t>
  </si>
  <si>
    <t>1628/06/30</t>
  </si>
  <si>
    <t>Salviati Aud___, Costanza</t>
  </si>
  <si>
    <t>1628/07/05</t>
  </si>
  <si>
    <t>No recipient explicitly written but the address is in masculine form</t>
  </si>
  <si>
    <t>1628/12/04</t>
  </si>
  <si>
    <t>?, Marc Antonio</t>
  </si>
  <si>
    <t>Gonzaga, Lud.co Francesco</t>
  </si>
  <si>
    <t>Gonzaga, Gio Francesco</t>
  </si>
  <si>
    <t>Gonzaga, Federico</t>
  </si>
  <si>
    <t>1628/12/24</t>
  </si>
  <si>
    <t>1629/05/02</t>
  </si>
  <si>
    <t>1629/05/04</t>
  </si>
  <si>
    <t>Albicini, Christoforo</t>
  </si>
  <si>
    <t xml:space="preserve">Madama in the greeting </t>
  </si>
  <si>
    <t>Guiscardi, Traiano</t>
  </si>
  <si>
    <t>Susa</t>
  </si>
  <si>
    <t>1629/05/05</t>
  </si>
  <si>
    <t>1629/06/16</t>
  </si>
  <si>
    <t>1629/06/17</t>
  </si>
  <si>
    <t>1629/07/25</t>
  </si>
  <si>
    <t>1629/09/19</t>
  </si>
  <si>
    <t>1629/09/22</t>
  </si>
  <si>
    <t>1629/09/26</t>
  </si>
  <si>
    <t>masculine greeting</t>
  </si>
  <si>
    <t>Gonzaga, Camillo</t>
  </si>
  <si>
    <t>1629/09/27</t>
  </si>
  <si>
    <t>Cavniami, Massimo</t>
  </si>
  <si>
    <t>1629/11/10</t>
  </si>
  <si>
    <t>1629/12/25</t>
  </si>
  <si>
    <t>1629/12/28</t>
  </si>
  <si>
    <t>1630/02/00</t>
  </si>
  <si>
    <t>1630/03/02</t>
  </si>
  <si>
    <t>Gonzaga, Caterina</t>
  </si>
  <si>
    <t>1630/04/17</t>
  </si>
  <si>
    <t>1630/09/05</t>
  </si>
  <si>
    <t>Gonzaga, Luigi</t>
  </si>
  <si>
    <t>1630/09/28</t>
  </si>
  <si>
    <t>1630/10/13</t>
  </si>
  <si>
    <t>I'm noticing a shift away from writing to MM and CL and towards writing to F as he exits his minority and rules more and more in his own right</t>
  </si>
  <si>
    <t>1630/10/16</t>
  </si>
  <si>
    <t>La Riva</t>
  </si>
  <si>
    <t>San Secondo</t>
  </si>
  <si>
    <t>Piacenza</t>
  </si>
  <si>
    <t>Ravenna</t>
  </si>
  <si>
    <t>Milano/Mediolani</t>
  </si>
  <si>
    <t>Venetia</t>
  </si>
  <si>
    <t>Gradisca</t>
  </si>
  <si>
    <t>Venegia</t>
  </si>
  <si>
    <t>Alexandria</t>
  </si>
  <si>
    <t>Borgo Vercelli</t>
  </si>
  <si>
    <t>Campo Cattolico sotto Asti</t>
  </si>
  <si>
    <t>Messerano</t>
  </si>
  <si>
    <t>Campo Cattolico sotto Vertelli</t>
  </si>
  <si>
    <t>Pavia</t>
  </si>
  <si>
    <t>Cremona</t>
  </si>
  <si>
    <t>Bront</t>
  </si>
  <si>
    <t>Como</t>
  </si>
  <si>
    <t>Valtellina</t>
  </si>
  <si>
    <t>Fosdinovo</t>
  </si>
  <si>
    <t>Novara</t>
  </si>
  <si>
    <t>Bergamo</t>
  </si>
  <si>
    <t>__mercato</t>
  </si>
  <si>
    <t>Sala</t>
  </si>
  <si>
    <t>Borgo val di Taro</t>
  </si>
  <si>
    <t>Mulatto</t>
  </si>
  <si>
    <t>Modena</t>
  </si>
  <si>
    <t>Farnese</t>
  </si>
  <si>
    <t>Close Marital Family</t>
  </si>
  <si>
    <t>Close Blood Family</t>
  </si>
  <si>
    <t>Source</t>
  </si>
  <si>
    <t>Target</t>
  </si>
  <si>
    <t>Latitude</t>
  </si>
  <si>
    <t>Longitude</t>
  </si>
  <si>
    <t>San Casciano dei Bagni</t>
  </si>
  <si>
    <t>&lt;-- Updating list of all mentioned locations</t>
  </si>
  <si>
    <t>&lt;-- Static list of locations and coordinates</t>
  </si>
  <si>
    <t>In A or not?</t>
  </si>
  <si>
    <t>All Locations (Updating)</t>
  </si>
  <si>
    <t>Archival Collection</t>
  </si>
  <si>
    <t>Travel</t>
  </si>
  <si>
    <t>Illness</t>
  </si>
  <si>
    <t>War</t>
  </si>
  <si>
    <t>Death of Cosimo II</t>
  </si>
  <si>
    <t>ID_00001</t>
  </si>
  <si>
    <t>ID_00002</t>
  </si>
  <si>
    <t>ID_00003</t>
  </si>
  <si>
    <t>ID_00004</t>
  </si>
  <si>
    <t>ID_00005</t>
  </si>
  <si>
    <t>ID_00006</t>
  </si>
  <si>
    <t>ID_00007</t>
  </si>
  <si>
    <t>ID_00008</t>
  </si>
  <si>
    <t>ID_00009</t>
  </si>
  <si>
    <t>ID_00010</t>
  </si>
  <si>
    <t>ID_00011</t>
  </si>
  <si>
    <t>ID_00012</t>
  </si>
  <si>
    <t>ID_00013</t>
  </si>
  <si>
    <t>ID_00014</t>
  </si>
  <si>
    <t>ID_00015</t>
  </si>
  <si>
    <t>ID_00016</t>
  </si>
  <si>
    <t>ID_00017</t>
  </si>
  <si>
    <t>ID_00018</t>
  </si>
  <si>
    <t>ID_00019</t>
  </si>
  <si>
    <t>ID_00020</t>
  </si>
  <si>
    <t>ID_00021</t>
  </si>
  <si>
    <t>ID_00022</t>
  </si>
  <si>
    <t>ID_00023</t>
  </si>
  <si>
    <t>ID_00024</t>
  </si>
  <si>
    <t>ID_00025</t>
  </si>
  <si>
    <t>ID_00026</t>
  </si>
  <si>
    <t>ID_00027</t>
  </si>
  <si>
    <t>ID_00028</t>
  </si>
  <si>
    <t>ID_00029</t>
  </si>
  <si>
    <t>ID_00030</t>
  </si>
  <si>
    <t>ID_00031</t>
  </si>
  <si>
    <t>ID_00032</t>
  </si>
  <si>
    <t>ID_00033</t>
  </si>
  <si>
    <t>ID_00034</t>
  </si>
  <si>
    <t>ID_00035</t>
  </si>
  <si>
    <t>ID_00036</t>
  </si>
  <si>
    <t>ID_00037</t>
  </si>
  <si>
    <t>ID_00038</t>
  </si>
  <si>
    <t>ID_00039</t>
  </si>
  <si>
    <t>ID_00040</t>
  </si>
  <si>
    <t>ID_00041</t>
  </si>
  <si>
    <t>ID_00042</t>
  </si>
  <si>
    <t>ID_00043</t>
  </si>
  <si>
    <t>ID_00044</t>
  </si>
  <si>
    <t>ID_00045</t>
  </si>
  <si>
    <t>ID_00046</t>
  </si>
  <si>
    <t>ID_00047</t>
  </si>
  <si>
    <t>ID_00048</t>
  </si>
  <si>
    <t>ID_00049</t>
  </si>
  <si>
    <t>ID_00050</t>
  </si>
  <si>
    <t>ID_00051</t>
  </si>
  <si>
    <t>ID_00052</t>
  </si>
  <si>
    <t>ID_00053</t>
  </si>
  <si>
    <t>ID_00054</t>
  </si>
  <si>
    <t>ID_00055</t>
  </si>
  <si>
    <t>ID_00056</t>
  </si>
  <si>
    <t>ID_00057</t>
  </si>
  <si>
    <t>ID_00058</t>
  </si>
  <si>
    <t>ID_00059</t>
  </si>
  <si>
    <t>ID_00060</t>
  </si>
  <si>
    <t>ID_00061</t>
  </si>
  <si>
    <t>ID_00062</t>
  </si>
  <si>
    <t>ID_00063</t>
  </si>
  <si>
    <t>ID_00064</t>
  </si>
  <si>
    <t>ID_00065</t>
  </si>
  <si>
    <t>ID_00066</t>
  </si>
  <si>
    <t>ID_00067</t>
  </si>
  <si>
    <t>ID_00068</t>
  </si>
  <si>
    <t>ID_00069</t>
  </si>
  <si>
    <t>ID_00070</t>
  </si>
  <si>
    <t>ID_00071</t>
  </si>
  <si>
    <t>ID_00072</t>
  </si>
  <si>
    <t>ID_00073</t>
  </si>
  <si>
    <t>ID_00074</t>
  </si>
  <si>
    <t>ID_00075</t>
  </si>
  <si>
    <t>ID_00076</t>
  </si>
  <si>
    <t>ID_00077</t>
  </si>
  <si>
    <t>ID_00078</t>
  </si>
  <si>
    <t>ID_00079</t>
  </si>
  <si>
    <t>ID_00080</t>
  </si>
  <si>
    <t>ID_00081</t>
  </si>
  <si>
    <t>ID_00082</t>
  </si>
  <si>
    <t>ID_00083</t>
  </si>
  <si>
    <t>ID_00084</t>
  </si>
  <si>
    <t>ID_00085</t>
  </si>
  <si>
    <t>ID_00086</t>
  </si>
  <si>
    <t>ID_00087</t>
  </si>
  <si>
    <t>ID_00088</t>
  </si>
  <si>
    <t>ID_00089</t>
  </si>
  <si>
    <t>ID_00090</t>
  </si>
  <si>
    <t>ID_00091</t>
  </si>
  <si>
    <t>ID_00092</t>
  </si>
  <si>
    <t>ID_00093</t>
  </si>
  <si>
    <t>ID_00094</t>
  </si>
  <si>
    <t>ID_00095</t>
  </si>
  <si>
    <t>ID_00096</t>
  </si>
  <si>
    <t>ID_00097</t>
  </si>
  <si>
    <t>ID_00098</t>
  </si>
  <si>
    <t>ID_00099</t>
  </si>
  <si>
    <t>ID_00100</t>
  </si>
  <si>
    <t>ID_00101</t>
  </si>
  <si>
    <t>ID_00102</t>
  </si>
  <si>
    <t>ID_00103</t>
  </si>
  <si>
    <t>ID_00104</t>
  </si>
  <si>
    <t>ID_00105</t>
  </si>
  <si>
    <t>ID_00106</t>
  </si>
  <si>
    <t>ID_00107</t>
  </si>
  <si>
    <t>ID_00108</t>
  </si>
  <si>
    <t>ID_00109</t>
  </si>
  <si>
    <t>ID_00110</t>
  </si>
  <si>
    <t>ID_00111</t>
  </si>
  <si>
    <t>ID_00112</t>
  </si>
  <si>
    <t>ID_00113</t>
  </si>
  <si>
    <t>ID_00114</t>
  </si>
  <si>
    <t>ID_00115</t>
  </si>
  <si>
    <t>ID_00116</t>
  </si>
  <si>
    <t>ID_00117</t>
  </si>
  <si>
    <t>ID_00118</t>
  </si>
  <si>
    <t>ID_00119</t>
  </si>
  <si>
    <t>ID_00120</t>
  </si>
  <si>
    <t>ID_00121</t>
  </si>
  <si>
    <t>ID_00122</t>
  </si>
  <si>
    <t>ID_00123</t>
  </si>
  <si>
    <t>ID_00124</t>
  </si>
  <si>
    <t>ID_00125</t>
  </si>
  <si>
    <t>ID_00126</t>
  </si>
  <si>
    <t>ID_00127</t>
  </si>
  <si>
    <t>ID_00128</t>
  </si>
  <si>
    <t>ID_00129</t>
  </si>
  <si>
    <t>ID_00130</t>
  </si>
  <si>
    <t>ID_00131</t>
  </si>
  <si>
    <t>ID_00132</t>
  </si>
  <si>
    <t>ID_00133</t>
  </si>
  <si>
    <t>ID_00134</t>
  </si>
  <si>
    <t>ID_00135</t>
  </si>
  <si>
    <t>ID_00136</t>
  </si>
  <si>
    <t>ID_00137</t>
  </si>
  <si>
    <t>ID_00138</t>
  </si>
  <si>
    <t>ID_00139</t>
  </si>
  <si>
    <t>ID_00140</t>
  </si>
  <si>
    <t>ID_00141</t>
  </si>
  <si>
    <t>ID_00142</t>
  </si>
  <si>
    <t>ID_00143</t>
  </si>
  <si>
    <t>ID_00144</t>
  </si>
  <si>
    <t>ID_00145</t>
  </si>
  <si>
    <t>ID_00146</t>
  </si>
  <si>
    <t>ID_00147</t>
  </si>
  <si>
    <t>ID_00148</t>
  </si>
  <si>
    <t>ID_00149</t>
  </si>
  <si>
    <t>ID_00150</t>
  </si>
  <si>
    <t>ID_00151</t>
  </si>
  <si>
    <t>ID_00152</t>
  </si>
  <si>
    <t>ID_00153</t>
  </si>
  <si>
    <t>ID_00154</t>
  </si>
  <si>
    <t>ID_00155</t>
  </si>
  <si>
    <t>ID_00156</t>
  </si>
  <si>
    <t>ID_00157</t>
  </si>
  <si>
    <t>ID_00158</t>
  </si>
  <si>
    <t>ID_00159</t>
  </si>
  <si>
    <t>ID_00160</t>
  </si>
  <si>
    <t>ID_00161</t>
  </si>
  <si>
    <t>ID_00162</t>
  </si>
  <si>
    <t>ID_00163</t>
  </si>
  <si>
    <t>ID_00164</t>
  </si>
  <si>
    <t>ID_00165</t>
  </si>
  <si>
    <t>ID_00166</t>
  </si>
  <si>
    <t>ID_00167</t>
  </si>
  <si>
    <t>ID_00168</t>
  </si>
  <si>
    <t>ID_00169</t>
  </si>
  <si>
    <t>ID_00170</t>
  </si>
  <si>
    <t>ID_00171</t>
  </si>
  <si>
    <t>ID_00172</t>
  </si>
  <si>
    <t>ID_00173</t>
  </si>
  <si>
    <t>ID_00174</t>
  </si>
  <si>
    <t>ID_00175</t>
  </si>
  <si>
    <t>ID_00176</t>
  </si>
  <si>
    <t>ID_00177</t>
  </si>
  <si>
    <t>ID_00178</t>
  </si>
  <si>
    <t>ID_00179</t>
  </si>
  <si>
    <t>ID_00180</t>
  </si>
  <si>
    <t>ID_00181</t>
  </si>
  <si>
    <t>ID_00182</t>
  </si>
  <si>
    <t>ID_00183</t>
  </si>
  <si>
    <t>ID_00184</t>
  </si>
  <si>
    <t>ID_00185</t>
  </si>
  <si>
    <t>ID_00186</t>
  </si>
  <si>
    <t>ID_00187</t>
  </si>
  <si>
    <t>ID_00188</t>
  </si>
  <si>
    <t>ID_00189</t>
  </si>
  <si>
    <t>ID_00190</t>
  </si>
  <si>
    <t>ID_00191</t>
  </si>
  <si>
    <t>ID_00192</t>
  </si>
  <si>
    <t>ID_00193</t>
  </si>
  <si>
    <t>ID_00194</t>
  </si>
  <si>
    <t>ID_00195</t>
  </si>
  <si>
    <t>ID_00196</t>
  </si>
  <si>
    <t>ID_00197</t>
  </si>
  <si>
    <t>ID_00198</t>
  </si>
  <si>
    <t>ID_00199</t>
  </si>
  <si>
    <t>ID_00200</t>
  </si>
  <si>
    <t>ID_00201</t>
  </si>
  <si>
    <t>ID_00202</t>
  </si>
  <si>
    <t>ID_00203</t>
  </si>
  <si>
    <t>ID_00204</t>
  </si>
  <si>
    <t>ID_00205</t>
  </si>
  <si>
    <t>ID_00206</t>
  </si>
  <si>
    <t>ID_00207</t>
  </si>
  <si>
    <t>ID_00208</t>
  </si>
  <si>
    <t>ID_00209</t>
  </si>
  <si>
    <t>ID_00210</t>
  </si>
  <si>
    <t>ID_00211</t>
  </si>
  <si>
    <t>ID_00212</t>
  </si>
  <si>
    <t>ID_00213</t>
  </si>
  <si>
    <t>ID_00214</t>
  </si>
  <si>
    <t>ID_00215</t>
  </si>
  <si>
    <t>ID_00216</t>
  </si>
  <si>
    <t>ID_00217</t>
  </si>
  <si>
    <t>ID_00218</t>
  </si>
  <si>
    <t>ID_00219</t>
  </si>
  <si>
    <t>ID_00220</t>
  </si>
  <si>
    <t>ID_00221</t>
  </si>
  <si>
    <t>ID_00222</t>
  </si>
  <si>
    <t>ID_00223</t>
  </si>
  <si>
    <t>ID_00224</t>
  </si>
  <si>
    <t>ID_00225</t>
  </si>
  <si>
    <t>ID_00226</t>
  </si>
  <si>
    <t>ID_00227</t>
  </si>
  <si>
    <t>ID_00228</t>
  </si>
  <si>
    <t>ID_00229</t>
  </si>
  <si>
    <t>ID_00230</t>
  </si>
  <si>
    <t>ID_00231</t>
  </si>
  <si>
    <t>ID_00232</t>
  </si>
  <si>
    <t>ID_00233</t>
  </si>
  <si>
    <t>ID_00234</t>
  </si>
  <si>
    <t>ID_00235</t>
  </si>
  <si>
    <t>ID_00236</t>
  </si>
  <si>
    <t>ID_00237</t>
  </si>
  <si>
    <t>ID_00238</t>
  </si>
  <si>
    <t>ID_00239</t>
  </si>
  <si>
    <t>ID_00240</t>
  </si>
  <si>
    <t>ID_00241</t>
  </si>
  <si>
    <t>ID_00242</t>
  </si>
  <si>
    <t>ID_00243</t>
  </si>
  <si>
    <t>ID_00244</t>
  </si>
  <si>
    <t>ID_00245</t>
  </si>
  <si>
    <t>ID_00246</t>
  </si>
  <si>
    <t>ID_00247</t>
  </si>
  <si>
    <t>ID_00248</t>
  </si>
  <si>
    <t>ID_00249</t>
  </si>
  <si>
    <t>ID_00250</t>
  </si>
  <si>
    <t>ID_00251</t>
  </si>
  <si>
    <t>ID_00252</t>
  </si>
  <si>
    <t>ID_00253</t>
  </si>
  <si>
    <t>ID_00254</t>
  </si>
  <si>
    <t>ID_00255</t>
  </si>
  <si>
    <t>ID_00256</t>
  </si>
  <si>
    <t>ID_00257</t>
  </si>
  <si>
    <t>ID_00258</t>
  </si>
  <si>
    <t>ID_00259</t>
  </si>
  <si>
    <t>ID_00260</t>
  </si>
  <si>
    <t>ID_00261</t>
  </si>
  <si>
    <t>ID_00262</t>
  </si>
  <si>
    <t>ID_00263</t>
  </si>
  <si>
    <t>ID_00264</t>
  </si>
  <si>
    <t>ID_00265</t>
  </si>
  <si>
    <t>ID_00266</t>
  </si>
  <si>
    <t>ID_00267</t>
  </si>
  <si>
    <t>ID_00268</t>
  </si>
  <si>
    <t>ID_00269</t>
  </si>
  <si>
    <t>ID_00270</t>
  </si>
  <si>
    <t>ID_00271</t>
  </si>
  <si>
    <t>ID_00272</t>
  </si>
  <si>
    <t>ID_00273</t>
  </si>
  <si>
    <t>ID_00274</t>
  </si>
  <si>
    <t>ID_00275</t>
  </si>
  <si>
    <t>ID_00276</t>
  </si>
  <si>
    <t>ID_00277</t>
  </si>
  <si>
    <t>ID_00278</t>
  </si>
  <si>
    <t>ID_00279</t>
  </si>
  <si>
    <t>ID_00280</t>
  </si>
  <si>
    <t>ID_00281</t>
  </si>
  <si>
    <t>ID_00282</t>
  </si>
  <si>
    <t>ID_00283</t>
  </si>
  <si>
    <t>ID_00284</t>
  </si>
  <si>
    <t>ID_00285</t>
  </si>
  <si>
    <t>ID_00286</t>
  </si>
  <si>
    <t>ID_00287</t>
  </si>
  <si>
    <t>ID_00288</t>
  </si>
  <si>
    <t>ID_00289</t>
  </si>
  <si>
    <t>ID_00290</t>
  </si>
  <si>
    <t>ID_00291</t>
  </si>
  <si>
    <t>ID_00292</t>
  </si>
  <si>
    <t>ID_00293</t>
  </si>
  <si>
    <t>ID_00294</t>
  </si>
  <si>
    <t>ID_00295</t>
  </si>
  <si>
    <t>ID_00296</t>
  </si>
  <si>
    <t>ID_00297</t>
  </si>
  <si>
    <t>ID_00298</t>
  </si>
  <si>
    <t>ID_00299</t>
  </si>
  <si>
    <t>ID_00300</t>
  </si>
  <si>
    <t>ID_00301</t>
  </si>
  <si>
    <t>ID_00302</t>
  </si>
  <si>
    <t>ID_00303</t>
  </si>
  <si>
    <t>ID_00304</t>
  </si>
  <si>
    <t>ID_00305</t>
  </si>
  <si>
    <t>ID_00306</t>
  </si>
  <si>
    <t>ID_00307</t>
  </si>
  <si>
    <t>ID_00308</t>
  </si>
  <si>
    <t>ID_00309</t>
  </si>
  <si>
    <t>ID_00310</t>
  </si>
  <si>
    <t>ID_00311</t>
  </si>
  <si>
    <t>ID_00312</t>
  </si>
  <si>
    <t>ID_00313</t>
  </si>
  <si>
    <t>ID_00314</t>
  </si>
  <si>
    <t>ID_00315</t>
  </si>
  <si>
    <t>ID_00316</t>
  </si>
  <si>
    <t>ID_00317</t>
  </si>
  <si>
    <t>ID_00318</t>
  </si>
  <si>
    <t>ID_00319</t>
  </si>
  <si>
    <t>ID_00320</t>
  </si>
  <si>
    <t>ID_00321</t>
  </si>
  <si>
    <t>ID_00322</t>
  </si>
  <si>
    <t>ID_00323</t>
  </si>
  <si>
    <t>ID_00324</t>
  </si>
  <si>
    <t>ID_00325</t>
  </si>
  <si>
    <t>ID_00326</t>
  </si>
  <si>
    <t>ID_00327</t>
  </si>
  <si>
    <t>ID_00328</t>
  </si>
  <si>
    <t>ID_00329</t>
  </si>
  <si>
    <t>ID_00330</t>
  </si>
  <si>
    <t>ID_00331</t>
  </si>
  <si>
    <t>ID_00332</t>
  </si>
  <si>
    <t>ID_00333</t>
  </si>
  <si>
    <t>ID_00334</t>
  </si>
  <si>
    <t>ID_00335</t>
  </si>
  <si>
    <t>ID_00336</t>
  </si>
  <si>
    <t>ID_00337</t>
  </si>
  <si>
    <t>ID_00338</t>
  </si>
  <si>
    <t>ID_00339</t>
  </si>
  <si>
    <t>ID_00340</t>
  </si>
  <si>
    <t>ID_00341</t>
  </si>
  <si>
    <t>ID_00342</t>
  </si>
  <si>
    <t>ID_00343</t>
  </si>
  <si>
    <t>ID_00344</t>
  </si>
  <si>
    <t>ID_00345</t>
  </si>
  <si>
    <t>ID_00346</t>
  </si>
  <si>
    <t>ID_00347</t>
  </si>
  <si>
    <t>ID_00348</t>
  </si>
  <si>
    <t>ID_00349</t>
  </si>
  <si>
    <t>ID_00350</t>
  </si>
  <si>
    <t>ID_00351</t>
  </si>
  <si>
    <t>ID_00352</t>
  </si>
  <si>
    <t>ID_00353</t>
  </si>
  <si>
    <t>ID_00354</t>
  </si>
  <si>
    <t>ID_00355</t>
  </si>
  <si>
    <t>ID_00356</t>
  </si>
  <si>
    <t>ID_00357</t>
  </si>
  <si>
    <t>ID_00358</t>
  </si>
  <si>
    <t>ID_00359</t>
  </si>
  <si>
    <t>ID_00360</t>
  </si>
  <si>
    <t>ID_00361</t>
  </si>
  <si>
    <t>ID_00362</t>
  </si>
  <si>
    <t>ID_00363</t>
  </si>
  <si>
    <t>ID_00364</t>
  </si>
  <si>
    <t>ID_00365</t>
  </si>
  <si>
    <t>ID_00366</t>
  </si>
  <si>
    <t>ID_00367</t>
  </si>
  <si>
    <t>ID_00368</t>
  </si>
  <si>
    <t>ID_00369</t>
  </si>
  <si>
    <t>ID_00370</t>
  </si>
  <si>
    <t>ID_00371</t>
  </si>
  <si>
    <t>ID_00372</t>
  </si>
  <si>
    <t>ID_00373</t>
  </si>
  <si>
    <t>ID_00374</t>
  </si>
  <si>
    <t>ID_00375</t>
  </si>
  <si>
    <t>ID_00376</t>
  </si>
  <si>
    <t>ID_00377</t>
  </si>
  <si>
    <t>ID_00378</t>
  </si>
  <si>
    <t>ID_00379</t>
  </si>
  <si>
    <t>ID_00380</t>
  </si>
  <si>
    <t>ID_00381</t>
  </si>
  <si>
    <t>ID_00382</t>
  </si>
  <si>
    <t>ID_00383</t>
  </si>
  <si>
    <t>ID_00384</t>
  </si>
  <si>
    <t>ID_00385</t>
  </si>
  <si>
    <t>ID_00386</t>
  </si>
  <si>
    <t>ID_00387</t>
  </si>
  <si>
    <t>ID_00388</t>
  </si>
  <si>
    <t>ID_00389</t>
  </si>
  <si>
    <t>ID_00390</t>
  </si>
  <si>
    <t>ID_00391</t>
  </si>
  <si>
    <t>ID_00392</t>
  </si>
  <si>
    <t>ID_00393</t>
  </si>
  <si>
    <t>ID_00394</t>
  </si>
  <si>
    <t>ID_00395</t>
  </si>
  <si>
    <t>ID_00396</t>
  </si>
  <si>
    <t>ID_00397</t>
  </si>
  <si>
    <t>ID_00398</t>
  </si>
  <si>
    <t>ID_00399</t>
  </si>
  <si>
    <t>ID_00400</t>
  </si>
  <si>
    <t>ID_00401</t>
  </si>
  <si>
    <t>ID_00402</t>
  </si>
  <si>
    <t>ID_00403</t>
  </si>
  <si>
    <t>ID_00404</t>
  </si>
  <si>
    <t>ID_00405</t>
  </si>
  <si>
    <t>ID_00406</t>
  </si>
  <si>
    <t>ID_00407</t>
  </si>
  <si>
    <t>ID_00408</t>
  </si>
  <si>
    <t>ID_00409</t>
  </si>
  <si>
    <t>ID_00410</t>
  </si>
  <si>
    <t>ID_00411</t>
  </si>
  <si>
    <t>ID_00412</t>
  </si>
  <si>
    <t>ID_00413</t>
  </si>
  <si>
    <t>ID_00414</t>
  </si>
  <si>
    <t>ID_00415</t>
  </si>
  <si>
    <t>ID_00416</t>
  </si>
  <si>
    <t>ID_00417</t>
  </si>
  <si>
    <t>ID_00418</t>
  </si>
  <si>
    <t>ID_00419</t>
  </si>
  <si>
    <t>ID_00420</t>
  </si>
  <si>
    <t>ID_00421</t>
  </si>
  <si>
    <t>ID_00422</t>
  </si>
  <si>
    <t>ID_00423</t>
  </si>
  <si>
    <t>ID_00424</t>
  </si>
  <si>
    <t>ID_00425</t>
  </si>
  <si>
    <t>ID_00426</t>
  </si>
  <si>
    <t>ID_00427</t>
  </si>
  <si>
    <t>ID_00428</t>
  </si>
  <si>
    <t>ID_00429</t>
  </si>
  <si>
    <t>ID_00430</t>
  </si>
  <si>
    <t>ID_00431</t>
  </si>
  <si>
    <t>ID_00432</t>
  </si>
  <si>
    <t>ID_00433</t>
  </si>
  <si>
    <t>ID_00434</t>
  </si>
  <si>
    <t>ID_00435</t>
  </si>
  <si>
    <t>ID_00436</t>
  </si>
  <si>
    <t>ID_00437</t>
  </si>
  <si>
    <t>ID_00438</t>
  </si>
  <si>
    <t>ID_00439</t>
  </si>
  <si>
    <t>ID_00440</t>
  </si>
  <si>
    <t>ID_00441</t>
  </si>
  <si>
    <t>ID_00442</t>
  </si>
  <si>
    <t>ID_00443</t>
  </si>
  <si>
    <t>ID_00444</t>
  </si>
  <si>
    <t>ID_00445</t>
  </si>
  <si>
    <t>ID_00446</t>
  </si>
  <si>
    <t>ID_00447</t>
  </si>
  <si>
    <t>ID_00448</t>
  </si>
  <si>
    <t>ID_00449</t>
  </si>
  <si>
    <t>ID_00450</t>
  </si>
  <si>
    <t>ID_00451</t>
  </si>
  <si>
    <t>ID_00452</t>
  </si>
  <si>
    <t>ID_00453</t>
  </si>
  <si>
    <t>ID_00454</t>
  </si>
  <si>
    <t>ID_00455</t>
  </si>
  <si>
    <t>ID_00456</t>
  </si>
  <si>
    <t>ID_00457</t>
  </si>
  <si>
    <t>ID_00458</t>
  </si>
  <si>
    <t>ID_00459</t>
  </si>
  <si>
    <t>ID_00460</t>
  </si>
  <si>
    <t>ID_00461</t>
  </si>
  <si>
    <t>ID_00462</t>
  </si>
  <si>
    <t>ID_00463</t>
  </si>
  <si>
    <t>ID_00464</t>
  </si>
  <si>
    <t>ID_00465</t>
  </si>
  <si>
    <t>ID_00466</t>
  </si>
  <si>
    <t>ID_00467</t>
  </si>
  <si>
    <t>ID_00468</t>
  </si>
  <si>
    <t>ID_00469</t>
  </si>
  <si>
    <t>ID_00470</t>
  </si>
  <si>
    <t>ID_00471</t>
  </si>
  <si>
    <t>ID_00472</t>
  </si>
  <si>
    <t>ID_00473</t>
  </si>
  <si>
    <t>ID_00474</t>
  </si>
  <si>
    <t>ID_00475</t>
  </si>
  <si>
    <t>ID_00476</t>
  </si>
  <si>
    <t>ID_00477</t>
  </si>
  <si>
    <t>ID_00478</t>
  </si>
  <si>
    <t>ID_00479</t>
  </si>
  <si>
    <t>ID_00480</t>
  </si>
  <si>
    <t>ID_00481</t>
  </si>
  <si>
    <t>ID_00482</t>
  </si>
  <si>
    <t>ID_00483</t>
  </si>
  <si>
    <t>ID_00484</t>
  </si>
  <si>
    <t>ID_00485</t>
  </si>
  <si>
    <t>ID_00486</t>
  </si>
  <si>
    <t>ID_00487</t>
  </si>
  <si>
    <t>ID_00488</t>
  </si>
  <si>
    <t>ID_00489</t>
  </si>
  <si>
    <t>ID_00490</t>
  </si>
  <si>
    <t>ID_00491</t>
  </si>
  <si>
    <t>ID_00492</t>
  </si>
  <si>
    <t>ID_00493</t>
  </si>
  <si>
    <t>ID_00494</t>
  </si>
  <si>
    <t>ID_00495</t>
  </si>
  <si>
    <t>ID_00496</t>
  </si>
  <si>
    <t>ID_00497</t>
  </si>
  <si>
    <t>ID_00498</t>
  </si>
  <si>
    <t>ID_00499</t>
  </si>
  <si>
    <t>ID_00500</t>
  </si>
  <si>
    <t>Source Location</t>
  </si>
  <si>
    <t>Source Title</t>
  </si>
  <si>
    <t>Target Title</t>
  </si>
  <si>
    <t>Unique ID</t>
  </si>
  <si>
    <t>Source Latitude</t>
  </si>
  <si>
    <t>Source Longitude</t>
  </si>
  <si>
    <t>Target Location (Inferred)</t>
  </si>
  <si>
    <t>Target Latitude</t>
  </si>
  <si>
    <t>Target Longitude</t>
  </si>
  <si>
    <t>Occupation</t>
  </si>
  <si>
    <t>Ruler</t>
  </si>
  <si>
    <t>Diplomat</t>
  </si>
  <si>
    <t>Nobility</t>
  </si>
  <si>
    <t>Merchant</t>
  </si>
  <si>
    <t>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</si>
</sst>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000000_);_(* \(#,##0.00000000\);_(* &quot;-&quot;??_);_(@_)"/>
  </numFmts>
  <fonts count="9" x14ac:knownFonts="1">
    <font>
      <sz val="11"/>
      <color theme="1"/>
      <name val="Aptos Narrow"/>
      <family val="2"/>
      <scheme val="minor"/>
    </font>
    <font>
      <sz val="9"/>
      <color indexed="81"/>
      <name val="Tahoma"/>
      <family val="2"/>
    </font>
    <font>
      <b/>
      <sz val="9"/>
      <color indexed="81"/>
      <name val="Tahoma"/>
      <family val="2"/>
    </font>
    <font>
      <sz val="8"/>
      <name val="Aptos Narrow"/>
      <family val="2"/>
      <scheme val="minor"/>
    </font>
    <font>
      <b/>
      <sz val="11"/>
      <color theme="1"/>
      <name val="Aptos Narrow"/>
      <family val="2"/>
      <scheme val="minor"/>
    </font>
    <font>
      <sz val="10"/>
      <color theme="1"/>
      <name val="Aptos"/>
      <family val="2"/>
    </font>
    <font>
      <sz val="11"/>
      <color theme="1"/>
      <name val="Aptos"/>
      <family val="2"/>
    </font>
    <font>
      <i/>
      <sz val="11"/>
      <color theme="1"/>
      <name val="Aptos"/>
      <family val="2"/>
    </font>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5">
    <border>
      <left/>
      <right/>
      <top/>
      <bottom/>
      <diagonal/>
    </border>
    <border>
      <left/>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43" fontId="8" fillId="0" borderId="0" applyFont="0" applyFill="0" applyBorder="0" applyAlignment="0" applyProtection="0"/>
  </cellStyleXfs>
  <cellXfs count="15">
    <xf numFmtId="0" fontId="0" fillId="0" borderId="0" xfId="0"/>
    <xf numFmtId="0" fontId="5" fillId="0" borderId="1" xfId="0" applyFont="1" applyBorder="1" applyAlignment="1">
      <alignment horizontal="center" wrapText="1"/>
    </xf>
    <xf numFmtId="49" fontId="5" fillId="0" borderId="1" xfId="0" applyNumberFormat="1" applyFont="1" applyBorder="1" applyAlignment="1">
      <alignment horizontal="center" wrapText="1"/>
    </xf>
    <xf numFmtId="0" fontId="5" fillId="0" borderId="1" xfId="0" applyFont="1" applyBorder="1" applyAlignment="1">
      <alignment horizontal="center" wrapText="1"/>
      <extLst>
        <ext xmlns:xfpb="http://schemas.microsoft.com/office/spreadsheetml/2022/featurepropertybag" uri="{C7286773-470A-42A8-94C5-96B5CB345126}">
          <xfpb:xfComplement i="0"/>
        </ext>
      </extLst>
    </xf>
    <xf numFmtId="0" fontId="5" fillId="0" borderId="0" xfId="0" applyFont="1" applyAlignment="1">
      <alignment horizontal="center" wrapText="1"/>
    </xf>
    <xf numFmtId="0" fontId="6" fillId="0" borderId="0" xfId="0" applyFont="1" applyAlignment="1">
      <alignment wrapText="1"/>
    </xf>
    <xf numFmtId="0" fontId="0" fillId="0" borderId="2" xfId="0" applyBorder="1" applyAlignment="1">
      <alignment horizontal="center"/>
    </xf>
    <xf numFmtId="0" fontId="0" fillId="0" borderId="0" xfId="0" applyAlignment="1">
      <alignment horizontal="center"/>
    </xf>
    <xf numFmtId="49" fontId="6" fillId="0" borderId="0" xfId="0" applyNumberFormat="1" applyFont="1" applyAlignment="1">
      <alignment horizontal="left" wrapText="1"/>
    </xf>
    <xf numFmtId="0" fontId="6" fillId="0" borderId="0" xfId="0" applyFont="1" applyAlignment="1">
      <alignment horizontal="left" wrapText="1"/>
    </xf>
    <xf numFmtId="164" fontId="0" fillId="0" borderId="0" xfId="1" applyNumberFormat="1" applyFont="1"/>
    <xf numFmtId="0" fontId="4" fillId="2" borderId="4" xfId="0" applyFont="1" applyFill="1" applyBorder="1"/>
    <xf numFmtId="0" fontId="0" fillId="2" borderId="3" xfId="0" applyFill="1" applyBorder="1"/>
    <xf numFmtId="0" fontId="4" fillId="2" borderId="2" xfId="0" applyFont="1" applyFill="1" applyBorder="1" applyAlignment="1">
      <alignment horizontal="center"/>
    </xf>
    <xf numFmtId="0" fontId="0" fillId="2" borderId="0" xfId="0" applyFill="1" applyAlignment="1">
      <alignment horizontal="center"/>
    </xf>
  </cellXfs>
  <cellStyles count="2">
    <cellStyle name="Comma" xfId="1" builtinId="3"/>
    <cellStyle name="Normal" xfId="0" builtinId="0"/>
  </cellStyles>
  <dxfs count="35">
    <dxf>
      <border outline="0">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horizontal="left" vertical="bottom" textRotation="0" wrapText="1" indent="0" justifyLastLine="0" shrinkToFit="0" readingOrder="0"/>
    </dxf>
    <dxf>
      <font>
        <strike val="0"/>
        <outline val="0"/>
        <shadow val="0"/>
        <u val="none"/>
        <vertAlign val="baseline"/>
        <color theme="1"/>
        <name val="Aptos"/>
        <family val="2"/>
        <scheme val="none"/>
      </font>
      <alignment horizontal="left" vertical="bottom" textRotation="0" wrapText="1" indent="0" justifyLastLine="0" shrinkToFit="0" readingOrder="0"/>
    </dxf>
    <dxf>
      <font>
        <strike val="0"/>
        <outline val="0"/>
        <shadow val="0"/>
        <u val="none"/>
        <vertAlign val="baseline"/>
        <color theme="1"/>
        <name val="Aptos"/>
        <family val="2"/>
        <scheme val="none"/>
      </font>
      <numFmt numFmtId="30" formatCode="@"/>
      <alignment horizontal="left"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font>
        <strike val="0"/>
        <outline val="0"/>
        <shadow val="0"/>
        <u val="none"/>
        <vertAlign val="baseline"/>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numFmt numFmtId="0" formatCode="General"/>
      <alignment horizontal="general" vertical="bottom" textRotation="0" wrapText="1" indent="0" justifyLastLine="0" shrinkToFit="0" readingOrder="0"/>
    </dxf>
    <dxf>
      <font>
        <strike val="0"/>
        <outline val="0"/>
        <shadow val="0"/>
        <u val="none"/>
        <vertAlign val="baseline"/>
        <color theme="1"/>
        <name val="Aptos"/>
        <family val="2"/>
        <scheme val="none"/>
      </font>
      <alignment vertical="bottom" textRotation="0" wrapText="1" indent="0" justifyLastLine="0" shrinkToFit="0" readingOrder="0"/>
    </dxf>
    <dxf>
      <border outline="0">
        <bottom style="medium">
          <color indexed="64"/>
        </bottom>
      </border>
    </dxf>
    <dxf>
      <font>
        <b val="0"/>
        <i val="0"/>
        <strike val="0"/>
        <condense val="0"/>
        <extend val="0"/>
        <outline val="0"/>
        <shadow val="0"/>
        <u val="none"/>
        <vertAlign val="baseline"/>
        <sz val="10"/>
        <color theme="1"/>
        <name val="Aptos"/>
        <family val="2"/>
        <scheme val="none"/>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alcChain" Target="calcChain.xml"/><Relationship Id="rId5" Type="http://schemas.openxmlformats.org/officeDocument/2006/relationships/theme" Target="theme/theme1.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microsoft.com/office/2017/10/relationships/person" Target="persons/perso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DE94D4-34A9-4E75-A586-81ED1D5C5A31}" name="Table1" displayName="Table1" ref="A1:Q501" totalsRowShown="0" headerRowDxfId="34" dataDxfId="32" headerRowBorderDxfId="33">
  <autoFilter ref="A1:Q501" xr:uid="{58DE94D4-34A9-4E75-A586-81ED1D5C5A31}"/>
  <sortState xmlns:xlrd2="http://schemas.microsoft.com/office/spreadsheetml/2017/richdata2" ref="A2:Q501">
    <sortCondition ref="A1:A501"/>
  </sortState>
  <tableColumns count="17">
    <tableColumn id="17" xr3:uid="{8CCFBFEA-0221-4D3C-BFFF-308375C17FE0}" name="Unique ID" dataDxfId="31"/>
    <tableColumn id="1" xr3:uid="{4BDFB47B-44D0-416F-9181-0E9101490A51}" name="Archival Collection" dataDxfId="30"/>
    <tableColumn id="2" xr3:uid="{8B578DED-9672-4561-8DF9-7748A19D9195}" name="Archival Page (r/v)" dataDxfId="29"/>
    <tableColumn id="3" xr3:uid="{342DCE4F-87E7-4601-BA2F-DBA6695B89FF}" name="PDF Page" dataDxfId="28"/>
    <tableColumn id="4" xr3:uid="{A91253C4-644F-420D-BC0C-EE4928B770E7}" name="Date*" dataDxfId="27"/>
    <tableColumn id="8" xr3:uid="{20A6E27A-899F-4343-81F0-E1F9EBF0432A}" name="Source Location" dataDxfId="26"/>
    <tableColumn id="5" xr3:uid="{AB55E683-3F54-492C-BA8E-6CE2CCC8A233}" name="Source" dataDxfId="25"/>
    <tableColumn id="13" xr3:uid="{60ECBE6A-DD75-44B0-A145-36135DAE9E77}" name="Source Title" dataDxfId="24"/>
    <tableColumn id="6" xr3:uid="{47C75AE6-F7A0-4D4A-8DD0-FCEDB5B24EDF}" name="Target" dataDxfId="23"/>
    <tableColumn id="14" xr3:uid="{6AB6820F-DA74-4B29-8F7D-3A718FCD35A9}" name="Target Title" dataDxfId="22"/>
    <tableColumn id="7" xr3:uid="{E1E4DC63-00F2-45F1-B4DD-CB11A2A298DE}" name="Relationship" dataDxfId="21"/>
    <tableColumn id="9" xr3:uid="{4120B240-36EF-4FEC-AA35-CB43E2634070}" name="Cipher" dataDxfId="20"/>
    <tableColumn id="15" xr3:uid="{AB7BC75B-DC85-4D20-8E4C-C40CDD263BAE}" name="Topic" dataDxfId="19"/>
    <tableColumn id="16" xr3:uid="{B8397A59-A00E-4C71-A68A-A1BA191D7B38}" name="Language" dataDxfId="18"/>
    <tableColumn id="11" xr3:uid="{2EBB46A6-47E8-4494-8065-EE3E18F6AF44}" name="Transcription" dataDxfId="17"/>
    <tableColumn id="12" xr3:uid="{667708D8-7A1A-47B5-8ADC-80CBD642DD33}" name="Rough Translation" dataDxfId="16"/>
    <tableColumn id="10" xr3:uid="{08C74F77-58B9-4CE8-B5EE-12E4C424F214}" name="Notes" dataDxfId="1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AC9101-882C-43DF-85D6-823B291ED434}" name="Table3" displayName="Table3" ref="A1:C1048505" totalsRowShown="0" headerRowDxfId="14" dataDxfId="13">
  <autoFilter ref="A1:C1048505" xr:uid="{33AC9101-882C-43DF-85D6-823B291ED434}"/>
  <sortState xmlns:xlrd2="http://schemas.microsoft.com/office/spreadsheetml/2017/richdata2" ref="A2:C1048505">
    <sortCondition ref="A1:A1048505"/>
  </sortState>
  <tableColumns count="3">
    <tableColumn id="1" xr3:uid="{8B8BCB28-7459-45DB-BAFB-5A1E93E349EF}" name="Source Location" dataDxfId="12"/>
    <tableColumn id="2" xr3:uid="{4F468429-A85C-48C7-AA3F-D2B8EEE7FEB8}" name="Latitude" dataDxfId="11"/>
    <tableColumn id="3" xr3:uid="{F3283FED-EC7B-46DF-BAE7-4D77ABFB0C9E}" name="Longitude" dataDxfId="1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D770DF-056E-47CA-B154-ADB0D800191C}" name="Table4" displayName="Table4" ref="B1:B1048576" totalsRowShown="0" headerRowDxfId="9" headerRowBorderDxfId="8">
  <autoFilter ref="B1:B1048576" xr:uid="{EED770DF-056E-47CA-B154-ADB0D800191C}"/>
  <sortState xmlns:xlrd2="http://schemas.microsoft.com/office/spreadsheetml/2017/richdata2" ref="B2:B26">
    <sortCondition ref="B1:B1048576"/>
  </sortState>
  <tableColumns count="1">
    <tableColumn id="1" xr3:uid="{10A01218-ADC8-44AD-A3E4-43628D3994DE}" name="Relationship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A36A19-14E5-429B-8BEB-C8466CEA5D2A}" name="Table5" displayName="Table5" ref="D1:D1048576" totalsRowShown="0" headerRowDxfId="7" headerRowBorderDxfId="6">
  <autoFilter ref="D1:D1048576" xr:uid="{DCA36A19-14E5-429B-8BEB-C8466CEA5D2A}"/>
  <sortState xmlns:xlrd2="http://schemas.microsoft.com/office/spreadsheetml/2017/richdata2" ref="D2:D1048576">
    <sortCondition ref="D1:D1048576"/>
  </sortState>
  <tableColumns count="1">
    <tableColumn id="1" xr3:uid="{5DF86BFA-76BA-4B5A-B47F-7F21703252BF}" name="Cipher"/>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5225EC-D8F3-48AE-B4AB-8A0467786542}" name="Table6" displayName="Table6" ref="F1:F1048576" totalsRowShown="0" headerRowDxfId="5" headerRowBorderDxfId="4">
  <autoFilter ref="F1:F1048576" xr:uid="{545225EC-D8F3-48AE-B4AB-8A0467786542}"/>
  <sortState xmlns:xlrd2="http://schemas.microsoft.com/office/spreadsheetml/2017/richdata2" ref="F2:F30">
    <sortCondition ref="F1:F1048576"/>
  </sortState>
  <tableColumns count="1">
    <tableColumn id="1" xr3:uid="{43251005-5B8A-4649-ABED-878E51621191}" name="Topic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A3392C-AF19-487C-A7FB-C6B6044262B3}" name="Table63" displayName="Table63" ref="H1:H1048576" totalsRowShown="0" headerRowDxfId="3" headerRowBorderDxfId="2">
  <autoFilter ref="H1:H1048576" xr:uid="{05A3392C-AF19-487C-A7FB-C6B6044262B3}"/>
  <sortState xmlns:xlrd2="http://schemas.microsoft.com/office/spreadsheetml/2017/richdata2" ref="H2:H19">
    <sortCondition ref="H1:H1048576"/>
  </sortState>
  <tableColumns count="1">
    <tableColumn id="1" xr3:uid="{11A0EB4F-AEA7-4760-80E7-B87EEB6AA195}" name="Language"/>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879587-4F32-4BA3-89FB-A135F7030E6B}" name="Table638" displayName="Table638" ref="J1:J1048576" totalsRowShown="0" headerRowDxfId="1" headerRowBorderDxfId="0">
  <autoFilter ref="J1:J1048576" xr:uid="{C1879587-4F32-4BA3-89FB-A135F7030E6B}"/>
  <sortState xmlns:xlrd2="http://schemas.microsoft.com/office/spreadsheetml/2017/richdata2" ref="J2:J30">
    <sortCondition ref="J1:J1048576"/>
  </sortState>
  <tableColumns count="1">
    <tableColumn id="1" xr3:uid="{0F17973B-FAD6-4608-8DFB-211875A2B645}" name="Occupa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22D84-AA0F-49C1-9EEA-35CE7681C569}">
  <sheetPr codeName="Sheet1"/>
  <dimension ref="A1:Q501"/>
  <sheetViews>
    <sheetView tabSelected="1" zoomScale="75" zoomScaleNormal="75" workbookViewId="0">
      <pane ySplit="1" topLeftCell="A2" activePane="bottomLeft" state="frozen"/>
      <selection pane="bottomLeft" activeCell="C504" sqref="C504"/>
    </sheetView>
  </sheetViews>
  <sheetFormatPr defaultColWidth="18.6640625" defaultRowHeight="45" customHeight="1" x14ac:dyDescent="0.45"/>
  <cols>
    <col min="1" max="1" width="13.53125" customWidth="1"/>
    <col min="2" max="2" width="20.33203125" style="5" customWidth="1"/>
    <col min="3" max="3" width="11.1328125" style="5" customWidth="1"/>
    <col min="4" max="4" width="10.1328125" style="5" customWidth="1"/>
    <col min="5" max="5" width="12.86328125" style="8" customWidth="1"/>
    <col min="6" max="6" width="12.33203125" style="9" customWidth="1"/>
    <col min="7" max="7" width="28" style="5" customWidth="1"/>
    <col min="8" max="8" width="25.33203125" style="5" customWidth="1"/>
    <col min="9" max="9" width="28" style="5" customWidth="1"/>
    <col min="10" max="10" width="24" style="5" customWidth="1"/>
    <col min="11" max="11" width="14.1328125" style="5" customWidth="1"/>
    <col min="12" max="12" width="14.53125" style="5" customWidth="1"/>
    <col min="13" max="13" width="20.6640625" style="5" customWidth="1"/>
    <col min="14" max="14" width="11.1328125" style="5" customWidth="1"/>
    <col min="15" max="17" width="67.6640625" style="5" customWidth="1"/>
    <col min="18" max="18" width="42.33203125" style="5" customWidth="1"/>
    <col min="19" max="20" width="25.46484375" style="5" customWidth="1"/>
    <col min="21" max="16384" width="18.6640625" style="5"/>
  </cols>
  <sheetData>
    <row r="1" spans="1:17" s="4" customFormat="1" ht="45" customHeight="1" thickBot="1" x14ac:dyDescent="0.45">
      <c r="A1" s="1" t="s">
        <v>2304</v>
      </c>
      <c r="B1" s="1" t="s">
        <v>1796</v>
      </c>
      <c r="C1" s="1" t="s">
        <v>26</v>
      </c>
      <c r="D1" s="2" t="s">
        <v>25</v>
      </c>
      <c r="E1" s="1" t="s">
        <v>238</v>
      </c>
      <c r="F1" s="1" t="s">
        <v>2301</v>
      </c>
      <c r="G1" s="1" t="s">
        <v>1787</v>
      </c>
      <c r="H1" s="1" t="s">
        <v>2302</v>
      </c>
      <c r="I1" s="1" t="s">
        <v>1788</v>
      </c>
      <c r="J1" s="1" t="s">
        <v>2303</v>
      </c>
      <c r="K1" s="1" t="s">
        <v>601</v>
      </c>
      <c r="L1" s="3" t="s">
        <v>630</v>
      </c>
      <c r="M1" s="3" t="s">
        <v>233</v>
      </c>
      <c r="N1" s="3" t="s">
        <v>637</v>
      </c>
      <c r="O1" s="1" t="s">
        <v>4</v>
      </c>
      <c r="P1" s="1" t="s">
        <v>6</v>
      </c>
      <c r="Q1" s="1" t="s">
        <v>0</v>
      </c>
    </row>
    <row r="2" spans="1:17" ht="45" customHeight="1" x14ac:dyDescent="0.45">
      <c r="A2" s="5" t="s">
        <v>1801</v>
      </c>
      <c r="B2" s="5" t="s">
        <v>55</v>
      </c>
      <c r="D2" s="8">
        <v>38</v>
      </c>
      <c r="E2" s="9" t="s">
        <v>63</v>
      </c>
      <c r="F2" s="5" t="s">
        <v>27</v>
      </c>
      <c r="G2" s="5" t="s">
        <v>214</v>
      </c>
      <c r="H2" s="5" t="s">
        <v>215</v>
      </c>
      <c r="I2" s="5" t="s">
        <v>1586</v>
      </c>
      <c r="J2" s="5" t="s">
        <v>211</v>
      </c>
      <c r="K2" s="5" t="s">
        <v>602</v>
      </c>
      <c r="O2" s="5" t="s">
        <v>57</v>
      </c>
      <c r="P2" s="5" t="s">
        <v>58</v>
      </c>
      <c r="Q2" s="5" t="s">
        <v>56</v>
      </c>
    </row>
    <row r="3" spans="1:17" ht="45" customHeight="1" x14ac:dyDescent="0.45">
      <c r="A3" s="5" t="s">
        <v>1802</v>
      </c>
      <c r="B3" s="5" t="s">
        <v>55</v>
      </c>
      <c r="D3" s="8">
        <v>40</v>
      </c>
      <c r="E3" s="9" t="s">
        <v>59</v>
      </c>
      <c r="F3" s="5" t="s">
        <v>27</v>
      </c>
      <c r="G3" s="5" t="s">
        <v>214</v>
      </c>
      <c r="H3" s="5" t="s">
        <v>215</v>
      </c>
      <c r="I3" s="5" t="s">
        <v>1586</v>
      </c>
      <c r="J3" s="5" t="s">
        <v>211</v>
      </c>
      <c r="K3" s="5" t="s">
        <v>602</v>
      </c>
      <c r="O3" s="5" t="s">
        <v>60</v>
      </c>
      <c r="Q3" s="5" t="s">
        <v>61</v>
      </c>
    </row>
    <row r="4" spans="1:17" ht="45" customHeight="1" x14ac:dyDescent="0.45">
      <c r="A4" s="5" t="s">
        <v>1803</v>
      </c>
      <c r="B4" s="5" t="s">
        <v>62</v>
      </c>
      <c r="D4" s="8">
        <v>5</v>
      </c>
      <c r="E4" s="9" t="s">
        <v>64</v>
      </c>
      <c r="F4" s="5" t="s">
        <v>291</v>
      </c>
      <c r="G4" s="5" t="s">
        <v>1586</v>
      </c>
      <c r="H4" s="5" t="s">
        <v>211</v>
      </c>
      <c r="I4" s="5" t="s">
        <v>212</v>
      </c>
      <c r="J4" s="5" t="s">
        <v>213</v>
      </c>
      <c r="K4" s="5" t="s">
        <v>602</v>
      </c>
      <c r="O4" s="5" t="s">
        <v>66</v>
      </c>
      <c r="P4" s="5" t="s">
        <v>67</v>
      </c>
    </row>
    <row r="5" spans="1:17" ht="45" customHeight="1" x14ac:dyDescent="0.45">
      <c r="A5" s="5" t="s">
        <v>1804</v>
      </c>
      <c r="B5" s="5" t="s">
        <v>62</v>
      </c>
      <c r="D5" s="8">
        <v>6</v>
      </c>
      <c r="E5" s="9" t="s">
        <v>65</v>
      </c>
      <c r="F5" s="5" t="s">
        <v>291</v>
      </c>
      <c r="G5" s="5" t="s">
        <v>1586</v>
      </c>
      <c r="H5" s="5" t="s">
        <v>211</v>
      </c>
      <c r="I5" s="5" t="s">
        <v>212</v>
      </c>
      <c r="J5" s="5" t="s">
        <v>213</v>
      </c>
      <c r="K5" s="5" t="s">
        <v>602</v>
      </c>
      <c r="O5" s="5" t="s">
        <v>68</v>
      </c>
      <c r="P5" s="5" t="s">
        <v>69</v>
      </c>
    </row>
    <row r="6" spans="1:17" ht="45" customHeight="1" x14ac:dyDescent="0.45">
      <c r="A6" s="5" t="s">
        <v>1805</v>
      </c>
      <c r="B6" s="5" t="s">
        <v>62</v>
      </c>
      <c r="D6" s="8">
        <v>8</v>
      </c>
      <c r="E6" s="9" t="s">
        <v>64</v>
      </c>
      <c r="F6" s="5" t="s">
        <v>291</v>
      </c>
      <c r="G6" s="5" t="s">
        <v>1586</v>
      </c>
      <c r="H6" s="5" t="s">
        <v>211</v>
      </c>
      <c r="I6" s="5" t="s">
        <v>212</v>
      </c>
      <c r="J6" s="5" t="s">
        <v>213</v>
      </c>
      <c r="K6" s="5" t="s">
        <v>602</v>
      </c>
      <c r="O6" s="5" t="s">
        <v>70</v>
      </c>
      <c r="P6" s="5" t="s">
        <v>71</v>
      </c>
      <c r="Q6" s="5" t="s">
        <v>72</v>
      </c>
    </row>
    <row r="7" spans="1:17" ht="45" customHeight="1" x14ac:dyDescent="0.45">
      <c r="A7" s="5" t="s">
        <v>1806</v>
      </c>
      <c r="B7" s="5" t="s">
        <v>62</v>
      </c>
      <c r="D7" s="8">
        <v>11</v>
      </c>
      <c r="E7" s="9" t="s">
        <v>76</v>
      </c>
      <c r="F7" s="5" t="s">
        <v>291</v>
      </c>
      <c r="G7" s="5" t="s">
        <v>1586</v>
      </c>
      <c r="H7" s="5" t="s">
        <v>211</v>
      </c>
      <c r="I7" s="5" t="s">
        <v>212</v>
      </c>
      <c r="J7" s="5" t="s">
        <v>213</v>
      </c>
      <c r="K7" s="5" t="s">
        <v>602</v>
      </c>
      <c r="O7" s="5" t="s">
        <v>73</v>
      </c>
      <c r="P7" s="5" t="s">
        <v>74</v>
      </c>
      <c r="Q7" s="5" t="s">
        <v>75</v>
      </c>
    </row>
    <row r="8" spans="1:17" ht="45" customHeight="1" x14ac:dyDescent="0.45">
      <c r="A8" s="5" t="s">
        <v>1807</v>
      </c>
      <c r="B8" s="5" t="s">
        <v>62</v>
      </c>
      <c r="D8" s="8">
        <v>13</v>
      </c>
      <c r="E8" s="9" t="s">
        <v>77</v>
      </c>
      <c r="F8" s="5" t="s">
        <v>291</v>
      </c>
      <c r="G8" s="5" t="s">
        <v>1586</v>
      </c>
      <c r="H8" s="5" t="s">
        <v>211</v>
      </c>
      <c r="I8" s="5" t="s">
        <v>212</v>
      </c>
      <c r="J8" s="5" t="s">
        <v>213</v>
      </c>
      <c r="K8" s="5" t="s">
        <v>602</v>
      </c>
      <c r="O8" s="5" t="s">
        <v>78</v>
      </c>
      <c r="P8" s="5" t="s">
        <v>79</v>
      </c>
    </row>
    <row r="9" spans="1:17" ht="45" customHeight="1" x14ac:dyDescent="0.45">
      <c r="A9" s="5" t="s">
        <v>1808</v>
      </c>
      <c r="B9" s="5" t="s">
        <v>62</v>
      </c>
      <c r="D9" s="8">
        <v>15</v>
      </c>
      <c r="E9" s="9" t="s">
        <v>80</v>
      </c>
      <c r="F9" s="5" t="s">
        <v>291</v>
      </c>
      <c r="G9" s="5" t="s">
        <v>1586</v>
      </c>
      <c r="H9" s="5" t="s">
        <v>211</v>
      </c>
      <c r="I9" s="5" t="s">
        <v>212</v>
      </c>
      <c r="J9" s="5" t="s">
        <v>213</v>
      </c>
      <c r="K9" s="5" t="s">
        <v>602</v>
      </c>
      <c r="O9" s="5" t="s">
        <v>81</v>
      </c>
      <c r="P9" s="5" t="s">
        <v>82</v>
      </c>
    </row>
    <row r="10" spans="1:17" ht="45" customHeight="1" x14ac:dyDescent="0.45">
      <c r="A10" s="5" t="s">
        <v>1809</v>
      </c>
      <c r="B10" s="5" t="s">
        <v>62</v>
      </c>
      <c r="D10" s="8">
        <v>17</v>
      </c>
      <c r="E10" s="9" t="s">
        <v>83</v>
      </c>
      <c r="F10" s="5" t="s">
        <v>291</v>
      </c>
      <c r="G10" s="5" t="s">
        <v>1586</v>
      </c>
      <c r="H10" s="5" t="s">
        <v>211</v>
      </c>
      <c r="I10" s="5" t="s">
        <v>212</v>
      </c>
      <c r="J10" s="5" t="s">
        <v>213</v>
      </c>
      <c r="K10" s="5" t="s">
        <v>602</v>
      </c>
      <c r="O10" s="5" t="s">
        <v>84</v>
      </c>
    </row>
    <row r="11" spans="1:17" ht="45" customHeight="1" x14ac:dyDescent="0.45">
      <c r="A11" s="5" t="s">
        <v>1810</v>
      </c>
      <c r="B11" s="5" t="s">
        <v>62</v>
      </c>
      <c r="D11" s="8">
        <v>20</v>
      </c>
      <c r="E11" s="9" t="s">
        <v>88</v>
      </c>
      <c r="F11" s="5" t="s">
        <v>291</v>
      </c>
      <c r="G11" s="5" t="s">
        <v>1586</v>
      </c>
      <c r="H11" s="5" t="s">
        <v>211</v>
      </c>
      <c r="I11" s="5" t="s">
        <v>212</v>
      </c>
      <c r="J11" s="5" t="s">
        <v>213</v>
      </c>
      <c r="K11" s="5" t="s">
        <v>602</v>
      </c>
      <c r="M11" s="5" t="s">
        <v>234</v>
      </c>
      <c r="O11" s="5" t="s">
        <v>86</v>
      </c>
      <c r="P11" s="5" t="s">
        <v>87</v>
      </c>
      <c r="Q11" s="5" t="s">
        <v>85</v>
      </c>
    </row>
    <row r="12" spans="1:17" ht="45" customHeight="1" x14ac:dyDescent="0.45">
      <c r="A12" s="5" t="s">
        <v>1811</v>
      </c>
      <c r="B12" s="5" t="s">
        <v>62</v>
      </c>
      <c r="D12" s="8">
        <v>22</v>
      </c>
      <c r="E12" s="9" t="s">
        <v>89</v>
      </c>
      <c r="F12" s="5" t="s">
        <v>291</v>
      </c>
      <c r="G12" s="5" t="s">
        <v>1586</v>
      </c>
      <c r="H12" s="5" t="s">
        <v>211</v>
      </c>
      <c r="I12" s="5" t="s">
        <v>212</v>
      </c>
      <c r="J12" s="5" t="s">
        <v>213</v>
      </c>
      <c r="K12" s="5" t="s">
        <v>602</v>
      </c>
      <c r="O12" s="5" t="s">
        <v>90</v>
      </c>
      <c r="P12" s="5" t="s">
        <v>91</v>
      </c>
    </row>
    <row r="13" spans="1:17" ht="45" customHeight="1" x14ac:dyDescent="0.45">
      <c r="A13" s="5" t="s">
        <v>1812</v>
      </c>
      <c r="B13" s="5" t="s">
        <v>62</v>
      </c>
      <c r="D13" s="8">
        <v>24</v>
      </c>
      <c r="E13" s="9" t="s">
        <v>92</v>
      </c>
      <c r="F13" s="5" t="s">
        <v>291</v>
      </c>
      <c r="G13" s="5" t="s">
        <v>1586</v>
      </c>
      <c r="H13" s="5" t="s">
        <v>211</v>
      </c>
      <c r="I13" s="5" t="s">
        <v>212</v>
      </c>
      <c r="J13" s="5" t="s">
        <v>213</v>
      </c>
      <c r="K13" s="5" t="s">
        <v>602</v>
      </c>
      <c r="M13" s="5" t="s">
        <v>235</v>
      </c>
      <c r="O13" s="5" t="s">
        <v>94</v>
      </c>
      <c r="P13" s="5" t="s">
        <v>95</v>
      </c>
      <c r="Q13" s="5" t="s">
        <v>93</v>
      </c>
    </row>
    <row r="14" spans="1:17" ht="45" customHeight="1" x14ac:dyDescent="0.45">
      <c r="A14" s="5" t="s">
        <v>1813</v>
      </c>
      <c r="B14" s="5" t="s">
        <v>62</v>
      </c>
      <c r="D14" s="8">
        <v>26</v>
      </c>
      <c r="E14" s="9" t="s">
        <v>96</v>
      </c>
      <c r="F14" s="5" t="s">
        <v>104</v>
      </c>
      <c r="G14" s="5" t="s">
        <v>1586</v>
      </c>
      <c r="H14" s="5" t="s">
        <v>211</v>
      </c>
      <c r="I14" s="5" t="s">
        <v>212</v>
      </c>
      <c r="J14" s="5" t="s">
        <v>213</v>
      </c>
      <c r="K14" s="5" t="s">
        <v>602</v>
      </c>
      <c r="M14" s="5" t="s">
        <v>234</v>
      </c>
      <c r="O14" s="5" t="s">
        <v>98</v>
      </c>
      <c r="P14" s="5" t="s">
        <v>99</v>
      </c>
      <c r="Q14" s="5" t="s">
        <v>97</v>
      </c>
    </row>
    <row r="15" spans="1:17" ht="45" customHeight="1" x14ac:dyDescent="0.45">
      <c r="A15" s="5" t="s">
        <v>1814</v>
      </c>
      <c r="B15" s="5" t="s">
        <v>62</v>
      </c>
      <c r="D15" s="8">
        <v>28</v>
      </c>
      <c r="E15" s="9" t="s">
        <v>100</v>
      </c>
      <c r="F15" s="5" t="s">
        <v>291</v>
      </c>
      <c r="G15" s="5" t="s">
        <v>1586</v>
      </c>
      <c r="H15" s="5" t="s">
        <v>211</v>
      </c>
      <c r="I15" s="5" t="s">
        <v>212</v>
      </c>
      <c r="J15" s="5" t="s">
        <v>213</v>
      </c>
      <c r="K15" s="5" t="s">
        <v>602</v>
      </c>
      <c r="M15" s="5" t="s">
        <v>237</v>
      </c>
      <c r="O15" s="5" t="s">
        <v>101</v>
      </c>
      <c r="P15" s="5" t="s">
        <v>102</v>
      </c>
      <c r="Q15" s="5" t="s">
        <v>103</v>
      </c>
    </row>
    <row r="16" spans="1:17" ht="45" customHeight="1" x14ac:dyDescent="0.45">
      <c r="A16" s="5" t="s">
        <v>1815</v>
      </c>
      <c r="B16" s="5" t="s">
        <v>62</v>
      </c>
      <c r="D16" s="8">
        <v>30</v>
      </c>
      <c r="E16" s="9" t="s">
        <v>106</v>
      </c>
      <c r="F16" s="5" t="s">
        <v>105</v>
      </c>
      <c r="G16" s="5" t="s">
        <v>1586</v>
      </c>
      <c r="H16" s="5" t="s">
        <v>211</v>
      </c>
      <c r="I16" s="5" t="s">
        <v>212</v>
      </c>
      <c r="J16" s="5" t="s">
        <v>213</v>
      </c>
      <c r="K16" s="5" t="s">
        <v>602</v>
      </c>
      <c r="M16" s="5" t="s">
        <v>236</v>
      </c>
      <c r="O16" s="5" t="s">
        <v>107</v>
      </c>
      <c r="P16" s="5" t="s">
        <v>108</v>
      </c>
      <c r="Q16" s="5" t="s">
        <v>109</v>
      </c>
    </row>
    <row r="17" spans="1:17" ht="45" customHeight="1" x14ac:dyDescent="0.45">
      <c r="A17" s="5" t="s">
        <v>1816</v>
      </c>
      <c r="B17" s="5" t="s">
        <v>62</v>
      </c>
      <c r="D17" s="8">
        <v>35</v>
      </c>
      <c r="E17" s="9" t="s">
        <v>113</v>
      </c>
      <c r="F17" s="5" t="s">
        <v>291</v>
      </c>
      <c r="G17" s="5" t="s">
        <v>1586</v>
      </c>
      <c r="H17" s="5" t="s">
        <v>211</v>
      </c>
      <c r="I17" s="5" t="s">
        <v>212</v>
      </c>
      <c r="J17" s="5" t="s">
        <v>213</v>
      </c>
      <c r="K17" s="5" t="s">
        <v>602</v>
      </c>
      <c r="M17" s="5" t="s">
        <v>236</v>
      </c>
      <c r="O17" s="5" t="s">
        <v>111</v>
      </c>
      <c r="P17" s="5" t="s">
        <v>112</v>
      </c>
      <c r="Q17" s="5" t="s">
        <v>110</v>
      </c>
    </row>
    <row r="18" spans="1:17" ht="45" customHeight="1" x14ac:dyDescent="0.45">
      <c r="A18" s="5" t="s">
        <v>1817</v>
      </c>
      <c r="B18" s="5" t="s">
        <v>62</v>
      </c>
      <c r="D18" s="8">
        <v>37</v>
      </c>
      <c r="E18" s="9" t="s">
        <v>114</v>
      </c>
      <c r="F18" s="5" t="s">
        <v>291</v>
      </c>
      <c r="G18" s="5" t="s">
        <v>1586</v>
      </c>
      <c r="H18" s="5" t="s">
        <v>211</v>
      </c>
      <c r="I18" s="5" t="s">
        <v>212</v>
      </c>
      <c r="J18" s="5" t="s">
        <v>213</v>
      </c>
      <c r="K18" s="5" t="s">
        <v>602</v>
      </c>
      <c r="M18" s="5" t="s">
        <v>234</v>
      </c>
      <c r="O18" s="5" t="s">
        <v>116</v>
      </c>
      <c r="P18" s="5" t="s">
        <v>117</v>
      </c>
      <c r="Q18" s="5" t="s">
        <v>115</v>
      </c>
    </row>
    <row r="19" spans="1:17" ht="45" customHeight="1" x14ac:dyDescent="0.45">
      <c r="A19" s="5" t="s">
        <v>1818</v>
      </c>
      <c r="B19" s="5" t="s">
        <v>62</v>
      </c>
      <c r="D19" s="8">
        <v>39</v>
      </c>
      <c r="E19" s="9" t="s">
        <v>118</v>
      </c>
      <c r="F19" s="5" t="s">
        <v>291</v>
      </c>
      <c r="G19" s="5" t="s">
        <v>1586</v>
      </c>
      <c r="H19" s="5" t="s">
        <v>211</v>
      </c>
      <c r="I19" s="5" t="s">
        <v>212</v>
      </c>
      <c r="J19" s="5" t="s">
        <v>213</v>
      </c>
      <c r="K19" s="5" t="s">
        <v>602</v>
      </c>
      <c r="M19" s="5" t="s">
        <v>234</v>
      </c>
      <c r="O19" s="5" t="s">
        <v>119</v>
      </c>
      <c r="P19" s="5" t="s">
        <v>120</v>
      </c>
      <c r="Q19" s="5" t="s">
        <v>121</v>
      </c>
    </row>
    <row r="20" spans="1:17" ht="45" customHeight="1" x14ac:dyDescent="0.45">
      <c r="A20" s="5" t="s">
        <v>1819</v>
      </c>
      <c r="B20" s="5" t="s">
        <v>62</v>
      </c>
      <c r="D20" s="8">
        <v>41</v>
      </c>
      <c r="E20" s="9" t="s">
        <v>122</v>
      </c>
      <c r="F20" s="5" t="s">
        <v>291</v>
      </c>
      <c r="G20" s="5" t="s">
        <v>1586</v>
      </c>
      <c r="H20" s="5" t="s">
        <v>211</v>
      </c>
      <c r="I20" s="5" t="s">
        <v>212</v>
      </c>
      <c r="J20" s="5" t="s">
        <v>213</v>
      </c>
      <c r="K20" s="5" t="s">
        <v>602</v>
      </c>
      <c r="O20" s="5" t="s">
        <v>123</v>
      </c>
      <c r="P20" s="5" t="s">
        <v>124</v>
      </c>
      <c r="Q20" s="5" t="s">
        <v>125</v>
      </c>
    </row>
    <row r="21" spans="1:17" ht="45" customHeight="1" x14ac:dyDescent="0.45">
      <c r="A21" s="5" t="s">
        <v>1820</v>
      </c>
      <c r="B21" s="5" t="s">
        <v>62</v>
      </c>
      <c r="D21" s="8">
        <v>44</v>
      </c>
      <c r="E21" s="9" t="s">
        <v>127</v>
      </c>
      <c r="F21" s="5" t="s">
        <v>291</v>
      </c>
      <c r="G21" s="5" t="s">
        <v>1586</v>
      </c>
      <c r="H21" s="5" t="s">
        <v>211</v>
      </c>
      <c r="I21" s="5" t="s">
        <v>212</v>
      </c>
      <c r="J21" s="5" t="s">
        <v>213</v>
      </c>
      <c r="K21" s="5" t="s">
        <v>602</v>
      </c>
      <c r="M21" s="5" t="s">
        <v>234</v>
      </c>
      <c r="O21" s="5" t="s">
        <v>128</v>
      </c>
      <c r="P21" s="5" t="s">
        <v>129</v>
      </c>
      <c r="Q21" s="5" t="s">
        <v>126</v>
      </c>
    </row>
    <row r="22" spans="1:17" ht="45" customHeight="1" x14ac:dyDescent="0.45">
      <c r="A22" s="5" t="s">
        <v>1821</v>
      </c>
      <c r="B22" s="5" t="s">
        <v>62</v>
      </c>
      <c r="D22" s="8">
        <v>46</v>
      </c>
      <c r="E22" s="9" t="s">
        <v>130</v>
      </c>
      <c r="F22" s="5" t="s">
        <v>291</v>
      </c>
      <c r="G22" s="5" t="s">
        <v>1586</v>
      </c>
      <c r="H22" s="5" t="s">
        <v>211</v>
      </c>
      <c r="I22" s="5" t="s">
        <v>212</v>
      </c>
      <c r="J22" s="5" t="s">
        <v>213</v>
      </c>
      <c r="K22" s="5" t="s">
        <v>602</v>
      </c>
      <c r="O22" s="5" t="s">
        <v>132</v>
      </c>
      <c r="P22" s="5" t="s">
        <v>133</v>
      </c>
      <c r="Q22" s="5" t="s">
        <v>131</v>
      </c>
    </row>
    <row r="23" spans="1:17" ht="45" customHeight="1" x14ac:dyDescent="0.45">
      <c r="A23" s="5" t="s">
        <v>1822</v>
      </c>
      <c r="B23" s="5" t="s">
        <v>62</v>
      </c>
      <c r="D23" s="8">
        <v>48</v>
      </c>
      <c r="E23" s="9" t="s">
        <v>134</v>
      </c>
      <c r="F23" s="5" t="s">
        <v>291</v>
      </c>
      <c r="G23" s="5" t="s">
        <v>1586</v>
      </c>
      <c r="H23" s="5" t="s">
        <v>211</v>
      </c>
      <c r="I23" s="5" t="s">
        <v>212</v>
      </c>
      <c r="J23" s="5" t="s">
        <v>213</v>
      </c>
      <c r="K23" s="5" t="s">
        <v>602</v>
      </c>
      <c r="O23" s="5" t="s">
        <v>135</v>
      </c>
      <c r="P23" s="5" t="s">
        <v>136</v>
      </c>
    </row>
    <row r="24" spans="1:17" ht="45" customHeight="1" x14ac:dyDescent="0.45">
      <c r="A24" s="5" t="s">
        <v>1823</v>
      </c>
      <c r="B24" s="5" t="s">
        <v>62</v>
      </c>
      <c r="D24" s="8">
        <v>50</v>
      </c>
      <c r="E24" s="9" t="s">
        <v>137</v>
      </c>
      <c r="F24" s="5" t="s">
        <v>291</v>
      </c>
      <c r="G24" s="5" t="s">
        <v>1586</v>
      </c>
      <c r="H24" s="5" t="s">
        <v>211</v>
      </c>
      <c r="I24" s="5" t="s">
        <v>212</v>
      </c>
      <c r="J24" s="5" t="s">
        <v>213</v>
      </c>
      <c r="K24" s="5" t="s">
        <v>602</v>
      </c>
      <c r="O24" s="5" t="s">
        <v>138</v>
      </c>
      <c r="P24" s="5" t="s">
        <v>139</v>
      </c>
    </row>
    <row r="25" spans="1:17" ht="45" customHeight="1" x14ac:dyDescent="0.45">
      <c r="A25" s="5" t="s">
        <v>1824</v>
      </c>
      <c r="B25" s="5" t="s">
        <v>62</v>
      </c>
      <c r="D25" s="8">
        <v>53</v>
      </c>
      <c r="E25" s="9" t="s">
        <v>142</v>
      </c>
      <c r="F25" s="5" t="s">
        <v>291</v>
      </c>
      <c r="G25" s="5" t="s">
        <v>1586</v>
      </c>
      <c r="H25" s="5" t="s">
        <v>211</v>
      </c>
      <c r="I25" s="5" t="s">
        <v>212</v>
      </c>
      <c r="J25" s="5" t="s">
        <v>213</v>
      </c>
      <c r="K25" s="5" t="s">
        <v>602</v>
      </c>
      <c r="O25" s="5" t="s">
        <v>140</v>
      </c>
      <c r="P25" s="5" t="s">
        <v>141</v>
      </c>
    </row>
    <row r="26" spans="1:17" ht="45" customHeight="1" x14ac:dyDescent="0.45">
      <c r="A26" s="5" t="s">
        <v>1825</v>
      </c>
      <c r="B26" s="5" t="s">
        <v>62</v>
      </c>
      <c r="D26" s="8">
        <v>55</v>
      </c>
      <c r="E26" s="9" t="s">
        <v>150</v>
      </c>
      <c r="F26" s="5" t="s">
        <v>291</v>
      </c>
      <c r="G26" s="5" t="s">
        <v>1586</v>
      </c>
      <c r="H26" s="5" t="s">
        <v>211</v>
      </c>
      <c r="I26" s="5" t="s">
        <v>212</v>
      </c>
      <c r="J26" s="5" t="s">
        <v>213</v>
      </c>
      <c r="K26" s="5" t="s">
        <v>602</v>
      </c>
      <c r="M26" s="5" t="s">
        <v>234</v>
      </c>
      <c r="O26" s="5" t="s">
        <v>143</v>
      </c>
      <c r="P26" s="5" t="s">
        <v>144</v>
      </c>
      <c r="Q26" s="5" t="s">
        <v>145</v>
      </c>
    </row>
    <row r="27" spans="1:17" ht="45" customHeight="1" x14ac:dyDescent="0.45">
      <c r="A27" s="5" t="s">
        <v>1826</v>
      </c>
      <c r="B27" s="5" t="s">
        <v>62</v>
      </c>
      <c r="D27" s="8">
        <v>57</v>
      </c>
      <c r="E27" s="9" t="s">
        <v>149</v>
      </c>
      <c r="F27" s="5" t="s">
        <v>291</v>
      </c>
      <c r="G27" s="5" t="s">
        <v>1586</v>
      </c>
      <c r="H27" s="5" t="s">
        <v>211</v>
      </c>
      <c r="I27" s="5" t="s">
        <v>212</v>
      </c>
      <c r="J27" s="5" t="s">
        <v>213</v>
      </c>
      <c r="K27" s="5" t="s">
        <v>602</v>
      </c>
      <c r="O27" s="5" t="s">
        <v>147</v>
      </c>
      <c r="P27" s="5" t="s">
        <v>148</v>
      </c>
      <c r="Q27" s="5" t="s">
        <v>146</v>
      </c>
    </row>
    <row r="28" spans="1:17" ht="45" customHeight="1" x14ac:dyDescent="0.45">
      <c r="A28" s="5" t="s">
        <v>1827</v>
      </c>
      <c r="B28" s="5" t="s">
        <v>62</v>
      </c>
      <c r="D28" s="8">
        <v>62</v>
      </c>
      <c r="E28" s="9" t="s">
        <v>155</v>
      </c>
      <c r="F28" s="5" t="s">
        <v>291</v>
      </c>
      <c r="G28" s="5" t="s">
        <v>1586</v>
      </c>
      <c r="H28" s="5" t="s">
        <v>211</v>
      </c>
      <c r="I28" s="5" t="s">
        <v>212</v>
      </c>
      <c r="J28" s="5" t="s">
        <v>213</v>
      </c>
      <c r="K28" s="5" t="s">
        <v>602</v>
      </c>
      <c r="M28" s="5" t="s">
        <v>234</v>
      </c>
      <c r="O28" s="5" t="s">
        <v>156</v>
      </c>
      <c r="P28" s="5" t="s">
        <v>157</v>
      </c>
    </row>
    <row r="29" spans="1:17" ht="45" customHeight="1" x14ac:dyDescent="0.45">
      <c r="A29" s="5" t="s">
        <v>1828</v>
      </c>
      <c r="B29" s="5" t="s">
        <v>62</v>
      </c>
      <c r="D29" s="8">
        <v>64</v>
      </c>
      <c r="E29" s="9" t="s">
        <v>158</v>
      </c>
      <c r="F29" s="5" t="s">
        <v>27</v>
      </c>
      <c r="G29" s="5" t="s">
        <v>1586</v>
      </c>
      <c r="H29" s="5" t="s">
        <v>211</v>
      </c>
      <c r="I29" s="5" t="s">
        <v>212</v>
      </c>
      <c r="J29" s="5" t="s">
        <v>213</v>
      </c>
      <c r="K29" s="5" t="s">
        <v>602</v>
      </c>
      <c r="M29" s="5" t="s">
        <v>234</v>
      </c>
      <c r="O29" s="5" t="s">
        <v>159</v>
      </c>
      <c r="P29" s="5" t="s">
        <v>160</v>
      </c>
    </row>
    <row r="30" spans="1:17" ht="45" customHeight="1" x14ac:dyDescent="0.45">
      <c r="A30" s="5" t="s">
        <v>1829</v>
      </c>
      <c r="B30" s="5" t="s">
        <v>62</v>
      </c>
      <c r="D30" s="8">
        <v>66</v>
      </c>
      <c r="E30" s="9" t="s">
        <v>161</v>
      </c>
      <c r="F30" s="5" t="s">
        <v>291</v>
      </c>
      <c r="G30" s="5" t="s">
        <v>1586</v>
      </c>
      <c r="H30" s="5" t="s">
        <v>211</v>
      </c>
      <c r="I30" s="5" t="s">
        <v>212</v>
      </c>
      <c r="J30" s="5" t="s">
        <v>213</v>
      </c>
      <c r="K30" s="5" t="s">
        <v>602</v>
      </c>
      <c r="O30" s="5" t="s">
        <v>162</v>
      </c>
      <c r="P30" s="5" t="s">
        <v>163</v>
      </c>
    </row>
    <row r="31" spans="1:17" ht="45" customHeight="1" x14ac:dyDescent="0.45">
      <c r="A31" s="5" t="s">
        <v>1830</v>
      </c>
      <c r="B31" s="5" t="s">
        <v>62</v>
      </c>
      <c r="D31" s="8" t="s">
        <v>152</v>
      </c>
      <c r="E31" s="9" t="s">
        <v>164</v>
      </c>
      <c r="F31" s="5" t="s">
        <v>291</v>
      </c>
      <c r="G31" s="5" t="s">
        <v>1586</v>
      </c>
      <c r="H31" s="5" t="s">
        <v>211</v>
      </c>
      <c r="I31" s="5" t="s">
        <v>212</v>
      </c>
      <c r="J31" s="5" t="s">
        <v>213</v>
      </c>
      <c r="K31" s="5" t="s">
        <v>602</v>
      </c>
      <c r="O31" s="5" t="s">
        <v>153</v>
      </c>
      <c r="P31" s="5" t="s">
        <v>154</v>
      </c>
      <c r="Q31" s="5" t="s">
        <v>151</v>
      </c>
    </row>
    <row r="32" spans="1:17" ht="45" customHeight="1" x14ac:dyDescent="0.45">
      <c r="A32" s="5" t="s">
        <v>1831</v>
      </c>
      <c r="B32" s="5" t="s">
        <v>547</v>
      </c>
      <c r="C32" s="5" t="s">
        <v>445</v>
      </c>
      <c r="D32" s="8" t="s">
        <v>285</v>
      </c>
      <c r="E32" s="9" t="s">
        <v>444</v>
      </c>
      <c r="F32" s="5" t="s">
        <v>291</v>
      </c>
      <c r="G32" s="5" t="s">
        <v>1586</v>
      </c>
      <c r="H32" s="5" t="s">
        <v>211</v>
      </c>
      <c r="I32" s="5" t="s">
        <v>212</v>
      </c>
      <c r="J32" s="5" t="s">
        <v>213</v>
      </c>
      <c r="K32" s="5" t="s">
        <v>602</v>
      </c>
    </row>
    <row r="33" spans="1:17" ht="45" customHeight="1" x14ac:dyDescent="0.45">
      <c r="A33" s="5" t="s">
        <v>1832</v>
      </c>
      <c r="B33" s="5" t="s">
        <v>547</v>
      </c>
      <c r="C33" s="5" t="s">
        <v>446</v>
      </c>
      <c r="D33" s="8" t="s">
        <v>331</v>
      </c>
      <c r="E33" s="9" t="s">
        <v>447</v>
      </c>
      <c r="F33" s="5" t="s">
        <v>291</v>
      </c>
      <c r="G33" s="5" t="s">
        <v>1586</v>
      </c>
      <c r="H33" s="5" t="s">
        <v>211</v>
      </c>
      <c r="I33" s="5" t="s">
        <v>212</v>
      </c>
      <c r="J33" s="5" t="s">
        <v>213</v>
      </c>
      <c r="K33" s="5" t="s">
        <v>602</v>
      </c>
    </row>
    <row r="34" spans="1:17" ht="45" customHeight="1" x14ac:dyDescent="0.45">
      <c r="A34" s="5" t="s">
        <v>1833</v>
      </c>
      <c r="B34" s="5" t="s">
        <v>547</v>
      </c>
      <c r="C34" s="5" t="s">
        <v>448</v>
      </c>
      <c r="D34" s="8" t="s">
        <v>449</v>
      </c>
      <c r="E34" s="9" t="s">
        <v>450</v>
      </c>
      <c r="F34" s="5" t="s">
        <v>291</v>
      </c>
      <c r="G34" s="5" t="s">
        <v>1586</v>
      </c>
      <c r="H34" s="5" t="s">
        <v>211</v>
      </c>
      <c r="I34" s="5" t="s">
        <v>212</v>
      </c>
      <c r="J34" s="5" t="s">
        <v>213</v>
      </c>
      <c r="K34" s="5" t="s">
        <v>602</v>
      </c>
    </row>
    <row r="35" spans="1:17" ht="45" customHeight="1" x14ac:dyDescent="0.45">
      <c r="A35" s="5" t="s">
        <v>1834</v>
      </c>
      <c r="B35" s="5" t="s">
        <v>547</v>
      </c>
      <c r="C35" s="5" t="s">
        <v>173</v>
      </c>
      <c r="D35" s="8" t="s">
        <v>451</v>
      </c>
      <c r="E35" s="9" t="s">
        <v>452</v>
      </c>
      <c r="F35" s="5" t="s">
        <v>291</v>
      </c>
      <c r="G35" s="5" t="s">
        <v>1586</v>
      </c>
      <c r="H35" s="5" t="s">
        <v>211</v>
      </c>
      <c r="I35" s="5" t="s">
        <v>212</v>
      </c>
      <c r="J35" s="5" t="s">
        <v>213</v>
      </c>
      <c r="K35" s="5" t="s">
        <v>602</v>
      </c>
    </row>
    <row r="36" spans="1:17" ht="45" customHeight="1" x14ac:dyDescent="0.45">
      <c r="A36" s="5" t="s">
        <v>1835</v>
      </c>
      <c r="B36" s="5" t="s">
        <v>547</v>
      </c>
      <c r="C36" s="5" t="s">
        <v>453</v>
      </c>
      <c r="D36" s="8" t="s">
        <v>454</v>
      </c>
      <c r="E36" s="9" t="s">
        <v>455</v>
      </c>
      <c r="F36" s="5" t="s">
        <v>291</v>
      </c>
      <c r="G36" s="5" t="s">
        <v>1586</v>
      </c>
      <c r="H36" s="5" t="s">
        <v>211</v>
      </c>
      <c r="I36" s="5" t="s">
        <v>212</v>
      </c>
      <c r="J36" s="5" t="s">
        <v>213</v>
      </c>
      <c r="K36" s="5" t="s">
        <v>602</v>
      </c>
    </row>
    <row r="37" spans="1:17" ht="45" customHeight="1" x14ac:dyDescent="0.45">
      <c r="A37" s="5" t="s">
        <v>1836</v>
      </c>
      <c r="B37" s="5" t="s">
        <v>547</v>
      </c>
      <c r="C37" s="5" t="s">
        <v>286</v>
      </c>
      <c r="D37" s="8" t="s">
        <v>343</v>
      </c>
      <c r="E37" s="9" t="s">
        <v>597</v>
      </c>
      <c r="F37" s="5" t="s">
        <v>291</v>
      </c>
      <c r="G37" s="5" t="s">
        <v>1586</v>
      </c>
      <c r="H37" s="5" t="s">
        <v>211</v>
      </c>
      <c r="I37" s="5" t="s">
        <v>212</v>
      </c>
      <c r="J37" s="5" t="s">
        <v>213</v>
      </c>
      <c r="K37" s="5" t="s">
        <v>602</v>
      </c>
      <c r="O37" s="5" t="s">
        <v>342</v>
      </c>
    </row>
    <row r="38" spans="1:17" ht="45" customHeight="1" x14ac:dyDescent="0.45">
      <c r="A38" s="5" t="s">
        <v>1837</v>
      </c>
      <c r="B38" s="5" t="s">
        <v>547</v>
      </c>
      <c r="C38" s="5" t="s">
        <v>456</v>
      </c>
      <c r="D38" s="8" t="s">
        <v>457</v>
      </c>
      <c r="E38" s="9" t="s">
        <v>458</v>
      </c>
      <c r="F38" s="5" t="s">
        <v>291</v>
      </c>
      <c r="G38" s="5" t="s">
        <v>1586</v>
      </c>
      <c r="H38" s="5" t="s">
        <v>211</v>
      </c>
      <c r="I38" s="5" t="s">
        <v>212</v>
      </c>
      <c r="J38" s="5" t="s">
        <v>213</v>
      </c>
      <c r="K38" s="5" t="s">
        <v>602</v>
      </c>
    </row>
    <row r="39" spans="1:17" ht="45" customHeight="1" x14ac:dyDescent="0.45">
      <c r="A39" s="5" t="s">
        <v>1838</v>
      </c>
      <c r="B39" s="5" t="s">
        <v>547</v>
      </c>
      <c r="C39" s="5" t="s">
        <v>459</v>
      </c>
      <c r="D39" s="8" t="s">
        <v>460</v>
      </c>
      <c r="E39" s="9" t="s">
        <v>458</v>
      </c>
      <c r="F39" s="5" t="s">
        <v>291</v>
      </c>
      <c r="G39" s="5" t="s">
        <v>1586</v>
      </c>
      <c r="H39" s="5" t="s">
        <v>211</v>
      </c>
      <c r="I39" s="5" t="s">
        <v>212</v>
      </c>
      <c r="J39" s="5" t="s">
        <v>213</v>
      </c>
      <c r="K39" s="5" t="s">
        <v>602</v>
      </c>
    </row>
    <row r="40" spans="1:17" ht="45" customHeight="1" x14ac:dyDescent="0.45">
      <c r="A40" s="5" t="s">
        <v>1839</v>
      </c>
      <c r="B40" s="5" t="s">
        <v>547</v>
      </c>
      <c r="C40" s="5" t="s">
        <v>326</v>
      </c>
      <c r="D40" s="8" t="s">
        <v>461</v>
      </c>
      <c r="E40" s="9" t="s">
        <v>462</v>
      </c>
      <c r="F40" s="5" t="s">
        <v>291</v>
      </c>
      <c r="G40" s="5" t="s">
        <v>1586</v>
      </c>
      <c r="H40" s="5" t="s">
        <v>211</v>
      </c>
      <c r="I40" s="5" t="s">
        <v>212</v>
      </c>
      <c r="J40" s="5" t="s">
        <v>213</v>
      </c>
      <c r="K40" s="5" t="s">
        <v>602</v>
      </c>
    </row>
    <row r="41" spans="1:17" ht="45" customHeight="1" x14ac:dyDescent="0.45">
      <c r="A41" s="5" t="s">
        <v>1840</v>
      </c>
      <c r="B41" s="5" t="s">
        <v>547</v>
      </c>
      <c r="C41" s="5" t="s">
        <v>463</v>
      </c>
      <c r="D41" s="8" t="s">
        <v>43</v>
      </c>
      <c r="E41" s="9" t="s">
        <v>464</v>
      </c>
      <c r="F41" s="5" t="s">
        <v>291</v>
      </c>
      <c r="G41" s="5" t="s">
        <v>1586</v>
      </c>
      <c r="H41" s="5" t="s">
        <v>211</v>
      </c>
      <c r="I41" s="5" t="s">
        <v>212</v>
      </c>
      <c r="J41" s="5" t="s">
        <v>213</v>
      </c>
      <c r="K41" s="5" t="s">
        <v>602</v>
      </c>
    </row>
    <row r="42" spans="1:17" ht="45" customHeight="1" x14ac:dyDescent="0.45">
      <c r="A42" s="5" t="s">
        <v>1841</v>
      </c>
      <c r="B42" s="5" t="s">
        <v>547</v>
      </c>
      <c r="C42" s="5" t="s">
        <v>465</v>
      </c>
      <c r="D42" s="8" t="s">
        <v>466</v>
      </c>
      <c r="E42" s="9" t="s">
        <v>467</v>
      </c>
      <c r="F42" s="5" t="s">
        <v>266</v>
      </c>
      <c r="G42" s="5" t="s">
        <v>1586</v>
      </c>
      <c r="H42" s="5" t="s">
        <v>211</v>
      </c>
      <c r="I42" s="5" t="s">
        <v>212</v>
      </c>
      <c r="J42" s="5" t="s">
        <v>213</v>
      </c>
      <c r="K42" s="5" t="s">
        <v>602</v>
      </c>
    </row>
    <row r="43" spans="1:17" ht="45" customHeight="1" x14ac:dyDescent="0.45">
      <c r="A43" s="5" t="s">
        <v>1842</v>
      </c>
      <c r="B43" s="5" t="s">
        <v>547</v>
      </c>
      <c r="C43" s="5" t="s">
        <v>469</v>
      </c>
      <c r="D43" s="8" t="s">
        <v>468</v>
      </c>
      <c r="E43" s="9" t="s">
        <v>356</v>
      </c>
      <c r="F43" s="5" t="s">
        <v>291</v>
      </c>
      <c r="G43" s="5" t="s">
        <v>1586</v>
      </c>
      <c r="H43" s="5" t="s">
        <v>211</v>
      </c>
      <c r="I43" s="5" t="s">
        <v>212</v>
      </c>
      <c r="J43" s="5" t="s">
        <v>213</v>
      </c>
      <c r="K43" s="5" t="s">
        <v>602</v>
      </c>
    </row>
    <row r="44" spans="1:17" ht="45" customHeight="1" x14ac:dyDescent="0.45">
      <c r="A44" s="5" t="s">
        <v>1843</v>
      </c>
      <c r="B44" s="5" t="s">
        <v>547</v>
      </c>
      <c r="C44" s="5" t="s">
        <v>471</v>
      </c>
      <c r="D44" s="8" t="s">
        <v>470</v>
      </c>
      <c r="E44" s="9" t="s">
        <v>472</v>
      </c>
      <c r="F44" s="5" t="s">
        <v>291</v>
      </c>
      <c r="G44" s="5" t="s">
        <v>662</v>
      </c>
      <c r="H44" s="5" t="s">
        <v>401</v>
      </c>
      <c r="I44" s="5" t="s">
        <v>212</v>
      </c>
      <c r="J44" s="5" t="s">
        <v>213</v>
      </c>
      <c r="K44" s="5" t="s">
        <v>602</v>
      </c>
    </row>
    <row r="45" spans="1:17" ht="45" customHeight="1" x14ac:dyDescent="0.45">
      <c r="A45" s="5" t="s">
        <v>1844</v>
      </c>
      <c r="B45" s="5" t="s">
        <v>547</v>
      </c>
      <c r="C45" s="5" t="s">
        <v>473</v>
      </c>
      <c r="D45" s="8" t="s">
        <v>474</v>
      </c>
      <c r="E45" s="9" t="s">
        <v>475</v>
      </c>
      <c r="F45" s="5" t="s">
        <v>291</v>
      </c>
      <c r="G45" s="5" t="s">
        <v>662</v>
      </c>
      <c r="H45" s="5" t="s">
        <v>401</v>
      </c>
      <c r="I45" s="5" t="s">
        <v>212</v>
      </c>
      <c r="J45" s="5" t="s">
        <v>213</v>
      </c>
      <c r="K45" s="5" t="s">
        <v>602</v>
      </c>
    </row>
    <row r="46" spans="1:17" ht="45" customHeight="1" x14ac:dyDescent="0.45">
      <c r="A46" s="5" t="s">
        <v>1845</v>
      </c>
      <c r="B46" s="5" t="s">
        <v>547</v>
      </c>
      <c r="C46" s="5" t="s">
        <v>288</v>
      </c>
      <c r="D46" s="8" t="s">
        <v>252</v>
      </c>
      <c r="E46" s="9" t="s">
        <v>344</v>
      </c>
      <c r="F46" s="5" t="s">
        <v>291</v>
      </c>
      <c r="G46" s="5" t="s">
        <v>1586</v>
      </c>
      <c r="H46" s="5" t="s">
        <v>211</v>
      </c>
      <c r="I46" s="5" t="s">
        <v>212</v>
      </c>
      <c r="J46" s="5" t="s">
        <v>213</v>
      </c>
      <c r="K46" s="5" t="s">
        <v>602</v>
      </c>
      <c r="O46" s="5" t="s">
        <v>345</v>
      </c>
    </row>
    <row r="47" spans="1:17" ht="45" customHeight="1" x14ac:dyDescent="0.45">
      <c r="A47" s="5" t="s">
        <v>1846</v>
      </c>
      <c r="B47" s="5" t="s">
        <v>547</v>
      </c>
      <c r="C47" s="5" t="s">
        <v>476</v>
      </c>
      <c r="D47" s="8" t="s">
        <v>477</v>
      </c>
      <c r="E47" s="9" t="s">
        <v>478</v>
      </c>
      <c r="F47" s="5" t="s">
        <v>291</v>
      </c>
      <c r="G47" s="5" t="s">
        <v>1586</v>
      </c>
      <c r="H47" s="5" t="s">
        <v>211</v>
      </c>
      <c r="I47" s="5" t="s">
        <v>212</v>
      </c>
      <c r="J47" s="5" t="s">
        <v>213</v>
      </c>
      <c r="K47" s="5" t="s">
        <v>602</v>
      </c>
    </row>
    <row r="48" spans="1:17" ht="45" customHeight="1" x14ac:dyDescent="0.45">
      <c r="A48" s="5" t="s">
        <v>1847</v>
      </c>
      <c r="B48" s="5" t="s">
        <v>547</v>
      </c>
      <c r="C48" s="5" t="s">
        <v>239</v>
      </c>
      <c r="D48" s="8" t="s">
        <v>480</v>
      </c>
      <c r="E48" s="9" t="s">
        <v>481</v>
      </c>
      <c r="F48" s="5" t="s">
        <v>291</v>
      </c>
      <c r="G48" s="5" t="s">
        <v>1586</v>
      </c>
      <c r="H48" s="5" t="s">
        <v>211</v>
      </c>
      <c r="I48" s="5" t="s">
        <v>212</v>
      </c>
      <c r="J48" s="5" t="s">
        <v>213</v>
      </c>
      <c r="K48" s="5" t="s">
        <v>602</v>
      </c>
      <c r="Q48" s="5" t="s">
        <v>479</v>
      </c>
    </row>
    <row r="49" spans="1:15" ht="45" customHeight="1" x14ac:dyDescent="0.45">
      <c r="A49" s="5" t="s">
        <v>1848</v>
      </c>
      <c r="B49" s="5" t="s">
        <v>547</v>
      </c>
      <c r="C49" s="5" t="s">
        <v>242</v>
      </c>
      <c r="D49" s="8" t="s">
        <v>482</v>
      </c>
      <c r="E49" s="9" t="s">
        <v>483</v>
      </c>
      <c r="F49" s="5" t="s">
        <v>291</v>
      </c>
      <c r="G49" s="5" t="s">
        <v>1586</v>
      </c>
      <c r="H49" s="5" t="s">
        <v>211</v>
      </c>
      <c r="I49" s="5" t="s">
        <v>216</v>
      </c>
      <c r="J49" s="5" t="s">
        <v>598</v>
      </c>
      <c r="K49" s="5" t="s">
        <v>606</v>
      </c>
    </row>
    <row r="50" spans="1:15" ht="45" customHeight="1" x14ac:dyDescent="0.45">
      <c r="A50" s="5" t="s">
        <v>1849</v>
      </c>
      <c r="B50" s="5" t="s">
        <v>547</v>
      </c>
      <c r="C50" s="5" t="s">
        <v>243</v>
      </c>
      <c r="D50" s="8" t="s">
        <v>485</v>
      </c>
      <c r="E50" s="9" t="s">
        <v>484</v>
      </c>
      <c r="F50" s="5" t="s">
        <v>27</v>
      </c>
      <c r="G50" s="5" t="s">
        <v>1586</v>
      </c>
      <c r="H50" s="5" t="s">
        <v>211</v>
      </c>
      <c r="I50" s="5" t="s">
        <v>212</v>
      </c>
      <c r="J50" s="5" t="s">
        <v>213</v>
      </c>
      <c r="K50" s="5" t="s">
        <v>602</v>
      </c>
    </row>
    <row r="51" spans="1:15" ht="45" customHeight="1" x14ac:dyDescent="0.45">
      <c r="A51" s="5" t="s">
        <v>1850</v>
      </c>
      <c r="B51" s="5" t="s">
        <v>547</v>
      </c>
      <c r="C51" s="5" t="s">
        <v>486</v>
      </c>
      <c r="D51" s="8" t="s">
        <v>487</v>
      </c>
      <c r="E51" s="9" t="s">
        <v>488</v>
      </c>
      <c r="F51" s="5" t="s">
        <v>291</v>
      </c>
      <c r="G51" s="5" t="s">
        <v>1586</v>
      </c>
      <c r="H51" s="5" t="s">
        <v>211</v>
      </c>
      <c r="I51" s="5" t="s">
        <v>212</v>
      </c>
      <c r="J51" s="5" t="s">
        <v>213</v>
      </c>
      <c r="K51" s="5" t="s">
        <v>602</v>
      </c>
    </row>
    <row r="52" spans="1:15" ht="45" customHeight="1" x14ac:dyDescent="0.45">
      <c r="A52" s="5" t="s">
        <v>1851</v>
      </c>
      <c r="B52" s="5" t="s">
        <v>547</v>
      </c>
      <c r="C52" s="5" t="s">
        <v>489</v>
      </c>
      <c r="D52" s="8" t="s">
        <v>490</v>
      </c>
      <c r="E52" s="9" t="s">
        <v>491</v>
      </c>
      <c r="F52" s="5" t="s">
        <v>27</v>
      </c>
      <c r="G52" s="5" t="s">
        <v>1586</v>
      </c>
      <c r="H52" s="5" t="s">
        <v>211</v>
      </c>
      <c r="I52" s="5" t="s">
        <v>212</v>
      </c>
      <c r="J52" s="5" t="s">
        <v>213</v>
      </c>
      <c r="K52" s="5" t="s">
        <v>602</v>
      </c>
    </row>
    <row r="53" spans="1:15" ht="45" customHeight="1" x14ac:dyDescent="0.45">
      <c r="A53" s="5" t="s">
        <v>1852</v>
      </c>
      <c r="B53" s="5" t="s">
        <v>547</v>
      </c>
      <c r="C53" s="5" t="s">
        <v>492</v>
      </c>
      <c r="D53" s="8" t="s">
        <v>493</v>
      </c>
      <c r="E53" s="9" t="s">
        <v>494</v>
      </c>
      <c r="F53" s="5" t="s">
        <v>506</v>
      </c>
      <c r="G53" s="5" t="s">
        <v>1586</v>
      </c>
      <c r="H53" s="5" t="s">
        <v>211</v>
      </c>
      <c r="I53" s="5" t="s">
        <v>212</v>
      </c>
      <c r="J53" s="5" t="s">
        <v>213</v>
      </c>
      <c r="K53" s="5" t="s">
        <v>602</v>
      </c>
    </row>
    <row r="54" spans="1:15" ht="45" customHeight="1" x14ac:dyDescent="0.45">
      <c r="A54" s="5" t="s">
        <v>1853</v>
      </c>
      <c r="B54" s="5" t="s">
        <v>547</v>
      </c>
      <c r="C54" s="5" t="s">
        <v>249</v>
      </c>
      <c r="D54" s="8" t="s">
        <v>495</v>
      </c>
      <c r="E54" s="9" t="s">
        <v>496</v>
      </c>
      <c r="F54" s="5" t="s">
        <v>27</v>
      </c>
      <c r="G54" s="5" t="s">
        <v>1586</v>
      </c>
      <c r="H54" s="5" t="s">
        <v>211</v>
      </c>
      <c r="I54" s="5" t="s">
        <v>212</v>
      </c>
      <c r="J54" s="5" t="s">
        <v>213</v>
      </c>
      <c r="K54" s="5" t="s">
        <v>602</v>
      </c>
    </row>
    <row r="55" spans="1:15" ht="45" customHeight="1" x14ac:dyDescent="0.45">
      <c r="A55" s="5" t="s">
        <v>1854</v>
      </c>
      <c r="B55" s="5" t="s">
        <v>547</v>
      </c>
      <c r="C55" s="5" t="s">
        <v>251</v>
      </c>
      <c r="D55" s="8" t="s">
        <v>497</v>
      </c>
      <c r="E55" s="9" t="s">
        <v>498</v>
      </c>
      <c r="F55" s="5" t="s">
        <v>291</v>
      </c>
      <c r="G55" s="5" t="s">
        <v>1586</v>
      </c>
      <c r="H55" s="5" t="s">
        <v>211</v>
      </c>
      <c r="I55" s="5" t="s">
        <v>212</v>
      </c>
      <c r="J55" s="5" t="s">
        <v>213</v>
      </c>
      <c r="K55" s="5" t="s">
        <v>602</v>
      </c>
    </row>
    <row r="56" spans="1:15" ht="45" customHeight="1" x14ac:dyDescent="0.45">
      <c r="A56" s="5" t="s">
        <v>1855</v>
      </c>
      <c r="B56" s="5" t="s">
        <v>547</v>
      </c>
      <c r="C56" s="5" t="s">
        <v>166</v>
      </c>
      <c r="D56" s="8" t="s">
        <v>256</v>
      </c>
      <c r="E56" s="9" t="s">
        <v>259</v>
      </c>
      <c r="F56" s="5" t="s">
        <v>291</v>
      </c>
      <c r="G56" s="5" t="s">
        <v>1586</v>
      </c>
      <c r="H56" s="5" t="s">
        <v>211</v>
      </c>
      <c r="I56" s="5" t="s">
        <v>212</v>
      </c>
      <c r="J56" s="5" t="s">
        <v>213</v>
      </c>
      <c r="K56" s="5" t="s">
        <v>602</v>
      </c>
      <c r="O56" s="5" t="s">
        <v>346</v>
      </c>
    </row>
    <row r="57" spans="1:15" ht="45" customHeight="1" x14ac:dyDescent="0.45">
      <c r="A57" s="5" t="s">
        <v>1856</v>
      </c>
      <c r="B57" s="5" t="s">
        <v>547</v>
      </c>
      <c r="C57" s="5" t="s">
        <v>255</v>
      </c>
      <c r="D57" s="8" t="s">
        <v>500</v>
      </c>
      <c r="E57" s="9" t="s">
        <v>499</v>
      </c>
      <c r="F57" s="5" t="s">
        <v>291</v>
      </c>
      <c r="G57" s="5" t="s">
        <v>1586</v>
      </c>
      <c r="H57" s="5" t="s">
        <v>211</v>
      </c>
      <c r="I57" s="5" t="s">
        <v>212</v>
      </c>
      <c r="J57" s="5" t="s">
        <v>213</v>
      </c>
      <c r="K57" s="5" t="s">
        <v>602</v>
      </c>
    </row>
    <row r="58" spans="1:15" ht="45" customHeight="1" x14ac:dyDescent="0.45">
      <c r="A58" s="5" t="s">
        <v>1857</v>
      </c>
      <c r="B58" s="5" t="s">
        <v>547</v>
      </c>
      <c r="C58" s="5" t="s">
        <v>292</v>
      </c>
      <c r="D58" s="8" t="s">
        <v>502</v>
      </c>
      <c r="E58" s="9" t="s">
        <v>501</v>
      </c>
      <c r="F58" s="5" t="s">
        <v>291</v>
      </c>
      <c r="G58" s="5" t="s">
        <v>1586</v>
      </c>
      <c r="H58" s="5" t="s">
        <v>211</v>
      </c>
      <c r="I58" s="5" t="s">
        <v>212</v>
      </c>
      <c r="J58" s="5" t="s">
        <v>213</v>
      </c>
      <c r="K58" s="5" t="s">
        <v>602</v>
      </c>
    </row>
    <row r="59" spans="1:15" ht="45" customHeight="1" x14ac:dyDescent="0.45">
      <c r="A59" s="5" t="s">
        <v>1858</v>
      </c>
      <c r="B59" s="5" t="s">
        <v>547</v>
      </c>
      <c r="C59" s="5" t="s">
        <v>257</v>
      </c>
      <c r="D59" s="8" t="s">
        <v>505</v>
      </c>
      <c r="E59" s="9" t="s">
        <v>504</v>
      </c>
      <c r="F59" s="5" t="s">
        <v>503</v>
      </c>
      <c r="G59" s="5" t="s">
        <v>1586</v>
      </c>
      <c r="H59" s="5" t="s">
        <v>211</v>
      </c>
      <c r="I59" s="5" t="s">
        <v>212</v>
      </c>
      <c r="J59" s="5" t="s">
        <v>213</v>
      </c>
      <c r="K59" s="5" t="s">
        <v>602</v>
      </c>
    </row>
    <row r="60" spans="1:15" ht="45" customHeight="1" x14ac:dyDescent="0.45">
      <c r="A60" s="5" t="s">
        <v>1859</v>
      </c>
      <c r="B60" s="5" t="s">
        <v>547</v>
      </c>
      <c r="C60" s="5" t="s">
        <v>260</v>
      </c>
      <c r="D60" s="8" t="s">
        <v>508</v>
      </c>
      <c r="E60" s="9" t="s">
        <v>507</v>
      </c>
      <c r="F60" s="5" t="s">
        <v>506</v>
      </c>
      <c r="G60" s="5" t="s">
        <v>1586</v>
      </c>
      <c r="H60" s="5" t="s">
        <v>211</v>
      </c>
      <c r="I60" s="5" t="s">
        <v>212</v>
      </c>
      <c r="J60" s="5" t="s">
        <v>213</v>
      </c>
      <c r="K60" s="5" t="s">
        <v>602</v>
      </c>
    </row>
    <row r="61" spans="1:15" ht="45" customHeight="1" x14ac:dyDescent="0.45">
      <c r="A61" s="5" t="s">
        <v>1860</v>
      </c>
      <c r="B61" s="5" t="s">
        <v>547</v>
      </c>
      <c r="C61" s="5" t="s">
        <v>262</v>
      </c>
      <c r="D61" s="8" t="s">
        <v>509</v>
      </c>
      <c r="E61" s="9" t="s">
        <v>510</v>
      </c>
      <c r="F61" s="5" t="s">
        <v>27</v>
      </c>
      <c r="G61" s="5" t="s">
        <v>1586</v>
      </c>
      <c r="H61" s="5" t="s">
        <v>211</v>
      </c>
      <c r="I61" s="5" t="s">
        <v>212</v>
      </c>
      <c r="J61" s="5" t="s">
        <v>213</v>
      </c>
      <c r="K61" s="5" t="s">
        <v>602</v>
      </c>
    </row>
    <row r="62" spans="1:15" ht="45" customHeight="1" x14ac:dyDescent="0.45">
      <c r="A62" s="5" t="s">
        <v>1861</v>
      </c>
      <c r="B62" s="5" t="s">
        <v>547</v>
      </c>
      <c r="C62" s="5" t="s">
        <v>264</v>
      </c>
      <c r="D62" s="8" t="s">
        <v>511</v>
      </c>
      <c r="E62" s="9" t="s">
        <v>498</v>
      </c>
      <c r="F62" s="5" t="s">
        <v>175</v>
      </c>
      <c r="G62" s="5" t="s">
        <v>1586</v>
      </c>
      <c r="H62" s="5" t="s">
        <v>211</v>
      </c>
      <c r="I62" s="5" t="s">
        <v>212</v>
      </c>
      <c r="J62" s="5" t="s">
        <v>213</v>
      </c>
      <c r="K62" s="5" t="s">
        <v>602</v>
      </c>
    </row>
    <row r="63" spans="1:15" ht="45" customHeight="1" x14ac:dyDescent="0.45">
      <c r="A63" s="5" t="s">
        <v>1862</v>
      </c>
      <c r="B63" s="5" t="s">
        <v>547</v>
      </c>
      <c r="C63" s="5" t="s">
        <v>267</v>
      </c>
      <c r="D63" s="8" t="s">
        <v>512</v>
      </c>
      <c r="E63" s="9" t="s">
        <v>513</v>
      </c>
      <c r="F63" s="5" t="s">
        <v>27</v>
      </c>
      <c r="G63" s="5" t="s">
        <v>1586</v>
      </c>
      <c r="H63" s="5" t="s">
        <v>211</v>
      </c>
      <c r="I63" s="5" t="s">
        <v>212</v>
      </c>
      <c r="J63" s="5" t="s">
        <v>213</v>
      </c>
      <c r="K63" s="5" t="s">
        <v>602</v>
      </c>
    </row>
    <row r="64" spans="1:15" ht="45" customHeight="1" x14ac:dyDescent="0.45">
      <c r="A64" s="5" t="s">
        <v>1863</v>
      </c>
      <c r="B64" s="5" t="s">
        <v>547</v>
      </c>
      <c r="C64" s="5" t="s">
        <v>514</v>
      </c>
      <c r="D64" s="8" t="s">
        <v>515</v>
      </c>
      <c r="E64" s="9" t="s">
        <v>516</v>
      </c>
      <c r="F64" s="5" t="s">
        <v>506</v>
      </c>
      <c r="G64" s="5" t="s">
        <v>1586</v>
      </c>
      <c r="H64" s="5" t="s">
        <v>211</v>
      </c>
      <c r="I64" s="5" t="s">
        <v>212</v>
      </c>
      <c r="J64" s="5" t="s">
        <v>213</v>
      </c>
      <c r="K64" s="5" t="s">
        <v>602</v>
      </c>
    </row>
    <row r="65" spans="1:15" ht="45" customHeight="1" x14ac:dyDescent="0.45">
      <c r="A65" s="5" t="s">
        <v>1864</v>
      </c>
      <c r="B65" s="5" t="s">
        <v>547</v>
      </c>
      <c r="C65" s="5" t="s">
        <v>517</v>
      </c>
      <c r="D65" s="8" t="s">
        <v>518</v>
      </c>
      <c r="E65" s="9" t="s">
        <v>519</v>
      </c>
      <c r="F65" s="5" t="s">
        <v>520</v>
      </c>
      <c r="G65" s="5" t="s">
        <v>1586</v>
      </c>
      <c r="H65" s="5" t="s">
        <v>211</v>
      </c>
      <c r="I65" s="5" t="s">
        <v>212</v>
      </c>
      <c r="J65" s="5" t="s">
        <v>213</v>
      </c>
      <c r="K65" s="5" t="s">
        <v>602</v>
      </c>
    </row>
    <row r="66" spans="1:15" ht="45" customHeight="1" x14ac:dyDescent="0.45">
      <c r="A66" s="5" t="s">
        <v>1865</v>
      </c>
      <c r="B66" s="5" t="s">
        <v>547</v>
      </c>
      <c r="C66" s="5" t="s">
        <v>275</v>
      </c>
      <c r="D66" s="8" t="s">
        <v>521</v>
      </c>
      <c r="E66" s="9" t="s">
        <v>522</v>
      </c>
      <c r="F66" s="5" t="s">
        <v>27</v>
      </c>
      <c r="G66" s="5" t="s">
        <v>1586</v>
      </c>
      <c r="H66" s="5" t="s">
        <v>211</v>
      </c>
      <c r="I66" s="5" t="s">
        <v>212</v>
      </c>
      <c r="J66" s="5" t="s">
        <v>213</v>
      </c>
      <c r="K66" s="5" t="s">
        <v>602</v>
      </c>
    </row>
    <row r="67" spans="1:15" ht="45" customHeight="1" x14ac:dyDescent="0.45">
      <c r="A67" s="5" t="s">
        <v>1866</v>
      </c>
      <c r="B67" s="5" t="s">
        <v>547</v>
      </c>
      <c r="C67" s="5" t="s">
        <v>348</v>
      </c>
      <c r="D67" s="8" t="s">
        <v>209</v>
      </c>
      <c r="E67" s="9" t="s">
        <v>349</v>
      </c>
      <c r="F67" s="5" t="s">
        <v>291</v>
      </c>
      <c r="G67" s="5" t="s">
        <v>1586</v>
      </c>
      <c r="H67" s="5" t="s">
        <v>211</v>
      </c>
      <c r="I67" s="5" t="s">
        <v>212</v>
      </c>
      <c r="J67" s="5" t="s">
        <v>213</v>
      </c>
      <c r="K67" s="5" t="s">
        <v>602</v>
      </c>
      <c r="O67" s="5" t="s">
        <v>347</v>
      </c>
    </row>
    <row r="68" spans="1:15" ht="45" customHeight="1" x14ac:dyDescent="0.45">
      <c r="A68" s="5" t="s">
        <v>1867</v>
      </c>
      <c r="B68" s="5" t="s">
        <v>547</v>
      </c>
      <c r="C68" s="5" t="s">
        <v>523</v>
      </c>
      <c r="D68" s="8" t="s">
        <v>524</v>
      </c>
      <c r="E68" s="9" t="s">
        <v>525</v>
      </c>
      <c r="F68" s="5" t="s">
        <v>27</v>
      </c>
      <c r="G68" s="5" t="s">
        <v>1586</v>
      </c>
      <c r="H68" s="5" t="s">
        <v>211</v>
      </c>
      <c r="I68" s="5" t="s">
        <v>212</v>
      </c>
      <c r="J68" s="5" t="s">
        <v>213</v>
      </c>
      <c r="K68" s="5" t="s">
        <v>602</v>
      </c>
      <c r="O68" s="5" t="s">
        <v>526</v>
      </c>
    </row>
    <row r="69" spans="1:15" ht="45" customHeight="1" x14ac:dyDescent="0.45">
      <c r="A69" s="5" t="s">
        <v>1868</v>
      </c>
      <c r="B69" s="5" t="s">
        <v>547</v>
      </c>
      <c r="C69" s="5" t="s">
        <v>527</v>
      </c>
      <c r="D69" s="8" t="s">
        <v>528</v>
      </c>
      <c r="E69" s="9" t="s">
        <v>529</v>
      </c>
      <c r="F69" s="5" t="s">
        <v>506</v>
      </c>
      <c r="G69" s="5" t="s">
        <v>1586</v>
      </c>
      <c r="H69" s="5" t="s">
        <v>211</v>
      </c>
      <c r="I69" s="5" t="s">
        <v>212</v>
      </c>
      <c r="J69" s="5" t="s">
        <v>213</v>
      </c>
      <c r="K69" s="5" t="s">
        <v>602</v>
      </c>
    </row>
    <row r="70" spans="1:15" ht="45" customHeight="1" x14ac:dyDescent="0.45">
      <c r="A70" s="5" t="s">
        <v>1869</v>
      </c>
      <c r="B70" s="5" t="s">
        <v>547</v>
      </c>
      <c r="C70" s="5" t="s">
        <v>530</v>
      </c>
      <c r="D70" s="8" t="s">
        <v>531</v>
      </c>
      <c r="E70" s="9" t="s">
        <v>532</v>
      </c>
      <c r="F70" s="5" t="s">
        <v>535</v>
      </c>
      <c r="G70" s="5" t="s">
        <v>1586</v>
      </c>
      <c r="H70" s="5" t="s">
        <v>211</v>
      </c>
      <c r="I70" s="5" t="s">
        <v>212</v>
      </c>
      <c r="J70" s="5" t="s">
        <v>213</v>
      </c>
      <c r="K70" s="5" t="s">
        <v>602</v>
      </c>
    </row>
    <row r="71" spans="1:15" ht="45" customHeight="1" x14ac:dyDescent="0.45">
      <c r="A71" s="5" t="s">
        <v>1870</v>
      </c>
      <c r="B71" s="5" t="s">
        <v>547</v>
      </c>
      <c r="C71" s="5" t="s">
        <v>533</v>
      </c>
      <c r="D71" s="8" t="s">
        <v>534</v>
      </c>
      <c r="E71" s="9" t="s">
        <v>536</v>
      </c>
      <c r="F71" s="5" t="s">
        <v>266</v>
      </c>
      <c r="G71" s="5" t="s">
        <v>1586</v>
      </c>
      <c r="H71" s="5" t="s">
        <v>211</v>
      </c>
      <c r="I71" s="5" t="s">
        <v>212</v>
      </c>
      <c r="J71" s="5" t="s">
        <v>213</v>
      </c>
      <c r="K71" s="5" t="s">
        <v>602</v>
      </c>
    </row>
    <row r="72" spans="1:15" ht="45" customHeight="1" x14ac:dyDescent="0.45">
      <c r="A72" s="5" t="s">
        <v>1871</v>
      </c>
      <c r="B72" s="5" t="s">
        <v>547</v>
      </c>
      <c r="C72" s="5" t="s">
        <v>537</v>
      </c>
      <c r="D72" s="8" t="s">
        <v>538</v>
      </c>
      <c r="E72" s="9" t="s">
        <v>536</v>
      </c>
      <c r="F72" s="5" t="s">
        <v>266</v>
      </c>
      <c r="G72" s="5" t="s">
        <v>1586</v>
      </c>
      <c r="H72" s="5" t="s">
        <v>211</v>
      </c>
      <c r="I72" s="5" t="s">
        <v>212</v>
      </c>
      <c r="J72" s="5" t="s">
        <v>213</v>
      </c>
      <c r="K72" s="5" t="s">
        <v>602</v>
      </c>
    </row>
    <row r="73" spans="1:15" ht="45" customHeight="1" x14ac:dyDescent="0.45">
      <c r="A73" s="5" t="s">
        <v>1872</v>
      </c>
      <c r="B73" s="5" t="s">
        <v>547</v>
      </c>
      <c r="C73" s="5" t="s">
        <v>539</v>
      </c>
      <c r="D73" s="8" t="s">
        <v>540</v>
      </c>
      <c r="E73" s="9" t="s">
        <v>541</v>
      </c>
      <c r="F73" s="5" t="s">
        <v>175</v>
      </c>
      <c r="G73" s="5" t="s">
        <v>1586</v>
      </c>
      <c r="H73" s="5" t="s">
        <v>211</v>
      </c>
      <c r="I73" s="5" t="s">
        <v>212</v>
      </c>
      <c r="J73" s="5" t="s">
        <v>213</v>
      </c>
      <c r="K73" s="5" t="s">
        <v>602</v>
      </c>
      <c r="O73" s="5" t="s">
        <v>542</v>
      </c>
    </row>
    <row r="74" spans="1:15" ht="45" customHeight="1" x14ac:dyDescent="0.45">
      <c r="A74" s="5" t="s">
        <v>1873</v>
      </c>
      <c r="B74" s="5" t="s">
        <v>547</v>
      </c>
      <c r="C74" s="5" t="s">
        <v>544</v>
      </c>
      <c r="D74" s="8" t="s">
        <v>543</v>
      </c>
      <c r="E74" s="9" t="s">
        <v>545</v>
      </c>
      <c r="F74" s="5" t="s">
        <v>175</v>
      </c>
      <c r="G74" s="5" t="s">
        <v>1586</v>
      </c>
      <c r="H74" s="5" t="s">
        <v>211</v>
      </c>
      <c r="I74" s="5" t="s">
        <v>212</v>
      </c>
      <c r="J74" s="5" t="s">
        <v>213</v>
      </c>
      <c r="K74" s="5" t="s">
        <v>602</v>
      </c>
      <c r="O74" s="5" t="s">
        <v>546</v>
      </c>
    </row>
    <row r="75" spans="1:15" ht="45" customHeight="1" x14ac:dyDescent="0.45">
      <c r="A75" s="5" t="s">
        <v>1874</v>
      </c>
      <c r="B75" s="5" t="s">
        <v>547</v>
      </c>
      <c r="C75" s="5" t="s">
        <v>290</v>
      </c>
      <c r="D75" s="8" t="s">
        <v>352</v>
      </c>
      <c r="E75" s="9" t="s">
        <v>353</v>
      </c>
      <c r="F75" s="5" t="s">
        <v>291</v>
      </c>
      <c r="G75" s="5" t="s">
        <v>1586</v>
      </c>
      <c r="H75" s="5" t="s">
        <v>211</v>
      </c>
      <c r="I75" s="5" t="s">
        <v>216</v>
      </c>
      <c r="J75" s="5" t="s">
        <v>598</v>
      </c>
      <c r="K75" s="5" t="s">
        <v>606</v>
      </c>
      <c r="O75" s="5" t="s">
        <v>351</v>
      </c>
    </row>
    <row r="76" spans="1:15" ht="45" customHeight="1" x14ac:dyDescent="0.45">
      <c r="A76" s="5" t="s">
        <v>1875</v>
      </c>
      <c r="B76" s="5" t="s">
        <v>547</v>
      </c>
      <c r="C76" s="5" t="s">
        <v>354</v>
      </c>
      <c r="D76" s="8" t="s">
        <v>355</v>
      </c>
      <c r="E76" s="9" t="s">
        <v>356</v>
      </c>
      <c r="F76" s="5" t="s">
        <v>291</v>
      </c>
      <c r="G76" s="5" t="s">
        <v>1586</v>
      </c>
      <c r="H76" s="5" t="s">
        <v>211</v>
      </c>
      <c r="I76" s="5" t="s">
        <v>212</v>
      </c>
      <c r="J76" s="5" t="s">
        <v>213</v>
      </c>
      <c r="K76" s="5" t="s">
        <v>602</v>
      </c>
      <c r="O76" s="5" t="s">
        <v>357</v>
      </c>
    </row>
    <row r="77" spans="1:15" ht="45" customHeight="1" x14ac:dyDescent="0.45">
      <c r="A77" s="5" t="s">
        <v>1876</v>
      </c>
      <c r="B77" s="5" t="s">
        <v>547</v>
      </c>
      <c r="C77" s="5" t="s">
        <v>359</v>
      </c>
      <c r="D77" s="8" t="s">
        <v>360</v>
      </c>
      <c r="E77" s="9" t="s">
        <v>350</v>
      </c>
      <c r="F77" s="5" t="s">
        <v>291</v>
      </c>
      <c r="G77" s="5" t="s">
        <v>1586</v>
      </c>
      <c r="H77" s="5" t="s">
        <v>211</v>
      </c>
      <c r="I77" s="5" t="s">
        <v>212</v>
      </c>
      <c r="J77" s="5" t="s">
        <v>213</v>
      </c>
      <c r="K77" s="5" t="s">
        <v>602</v>
      </c>
      <c r="O77" s="5" t="s">
        <v>358</v>
      </c>
    </row>
    <row r="78" spans="1:15" ht="45" customHeight="1" x14ac:dyDescent="0.45">
      <c r="A78" s="5" t="s">
        <v>1877</v>
      </c>
      <c r="B78" s="5" t="s">
        <v>547</v>
      </c>
      <c r="C78" s="5" t="s">
        <v>361</v>
      </c>
      <c r="D78" s="8" t="s">
        <v>295</v>
      </c>
      <c r="E78" s="9" t="s">
        <v>344</v>
      </c>
      <c r="F78" s="5" t="s">
        <v>291</v>
      </c>
      <c r="G78" s="5" t="s">
        <v>1586</v>
      </c>
      <c r="H78" s="5" t="s">
        <v>211</v>
      </c>
      <c r="I78" s="5" t="s">
        <v>212</v>
      </c>
      <c r="J78" s="5" t="s">
        <v>213</v>
      </c>
      <c r="K78" s="5" t="s">
        <v>602</v>
      </c>
      <c r="O78" s="5" t="s">
        <v>362</v>
      </c>
    </row>
    <row r="79" spans="1:15" ht="45" customHeight="1" x14ac:dyDescent="0.45">
      <c r="A79" s="5" t="s">
        <v>1878</v>
      </c>
      <c r="B79" s="5" t="s">
        <v>547</v>
      </c>
      <c r="C79" s="5" t="s">
        <v>294</v>
      </c>
      <c r="D79" s="8" t="s">
        <v>363</v>
      </c>
      <c r="E79" s="9" t="s">
        <v>364</v>
      </c>
      <c r="F79" s="5" t="s">
        <v>291</v>
      </c>
      <c r="G79" s="5" t="s">
        <v>1586</v>
      </c>
      <c r="H79" s="5" t="s">
        <v>211</v>
      </c>
      <c r="I79" s="5" t="s">
        <v>212</v>
      </c>
      <c r="J79" s="5" t="s">
        <v>213</v>
      </c>
      <c r="K79" s="5" t="s">
        <v>602</v>
      </c>
      <c r="L79" s="5" t="s">
        <v>632</v>
      </c>
      <c r="O79" s="5" t="s">
        <v>365</v>
      </c>
    </row>
    <row r="80" spans="1:15" ht="45" customHeight="1" x14ac:dyDescent="0.45">
      <c r="A80" s="5" t="s">
        <v>1879</v>
      </c>
      <c r="B80" s="5" t="s">
        <v>547</v>
      </c>
      <c r="C80" s="5" t="s">
        <v>367</v>
      </c>
      <c r="D80" s="8" t="s">
        <v>366</v>
      </c>
      <c r="E80" s="9" t="s">
        <v>368</v>
      </c>
      <c r="F80" s="5" t="s">
        <v>291</v>
      </c>
      <c r="G80" s="5" t="s">
        <v>1586</v>
      </c>
      <c r="H80" s="5" t="s">
        <v>211</v>
      </c>
      <c r="I80" s="5" t="s">
        <v>212</v>
      </c>
      <c r="J80" s="5" t="s">
        <v>213</v>
      </c>
      <c r="K80" s="5" t="s">
        <v>602</v>
      </c>
    </row>
    <row r="81" spans="1:15" ht="45" customHeight="1" x14ac:dyDescent="0.45">
      <c r="A81" s="5" t="s">
        <v>1880</v>
      </c>
      <c r="B81" s="5" t="s">
        <v>547</v>
      </c>
      <c r="C81" s="5" t="s">
        <v>369</v>
      </c>
      <c r="D81" s="8" t="s">
        <v>301</v>
      </c>
      <c r="E81" s="9" t="s">
        <v>370</v>
      </c>
      <c r="F81" s="5" t="s">
        <v>291</v>
      </c>
      <c r="G81" s="5" t="s">
        <v>1586</v>
      </c>
      <c r="H81" s="5" t="s">
        <v>211</v>
      </c>
      <c r="I81" s="5" t="s">
        <v>212</v>
      </c>
      <c r="J81" s="5" t="s">
        <v>213</v>
      </c>
      <c r="K81" s="5" t="s">
        <v>602</v>
      </c>
    </row>
    <row r="82" spans="1:15" ht="45" customHeight="1" x14ac:dyDescent="0.45">
      <c r="A82" s="5" t="s">
        <v>1881</v>
      </c>
      <c r="B82" s="5" t="s">
        <v>547</v>
      </c>
      <c r="C82" s="5" t="s">
        <v>298</v>
      </c>
      <c r="D82" s="8" t="s">
        <v>371</v>
      </c>
      <c r="E82" s="9" t="s">
        <v>372</v>
      </c>
      <c r="F82" s="5" t="s">
        <v>291</v>
      </c>
      <c r="G82" s="5" t="s">
        <v>1586</v>
      </c>
      <c r="H82" s="5" t="s">
        <v>211</v>
      </c>
      <c r="I82" s="5" t="s">
        <v>212</v>
      </c>
      <c r="J82" s="5" t="s">
        <v>213</v>
      </c>
      <c r="K82" s="5" t="s">
        <v>602</v>
      </c>
    </row>
    <row r="83" spans="1:15" ht="45" customHeight="1" x14ac:dyDescent="0.45">
      <c r="A83" s="5" t="s">
        <v>1882</v>
      </c>
      <c r="B83" s="5" t="s">
        <v>547</v>
      </c>
      <c r="C83" s="5" t="s">
        <v>300</v>
      </c>
      <c r="D83" s="8" t="s">
        <v>281</v>
      </c>
      <c r="E83" s="9" t="s">
        <v>373</v>
      </c>
      <c r="F83" s="5" t="s">
        <v>291</v>
      </c>
      <c r="G83" s="5" t="s">
        <v>1586</v>
      </c>
      <c r="H83" s="5" t="s">
        <v>211</v>
      </c>
      <c r="I83" s="5" t="s">
        <v>212</v>
      </c>
      <c r="J83" s="5" t="s">
        <v>213</v>
      </c>
      <c r="K83" s="5" t="s">
        <v>602</v>
      </c>
      <c r="O83" s="5" t="s">
        <v>374</v>
      </c>
    </row>
    <row r="84" spans="1:15" ht="45" customHeight="1" x14ac:dyDescent="0.45">
      <c r="A84" s="5" t="s">
        <v>1883</v>
      </c>
      <c r="B84" s="5" t="s">
        <v>547</v>
      </c>
      <c r="C84" s="5" t="s">
        <v>375</v>
      </c>
      <c r="D84" s="8" t="s">
        <v>376</v>
      </c>
      <c r="E84" s="9" t="s">
        <v>377</v>
      </c>
      <c r="F84" s="5" t="s">
        <v>266</v>
      </c>
      <c r="G84" s="5" t="s">
        <v>1586</v>
      </c>
      <c r="H84" s="5" t="s">
        <v>211</v>
      </c>
      <c r="I84" s="5" t="s">
        <v>212</v>
      </c>
      <c r="J84" s="5" t="s">
        <v>213</v>
      </c>
      <c r="K84" s="5" t="s">
        <v>602</v>
      </c>
      <c r="O84" s="5" t="s">
        <v>378</v>
      </c>
    </row>
    <row r="85" spans="1:15" ht="45" customHeight="1" x14ac:dyDescent="0.45">
      <c r="A85" s="5" t="s">
        <v>1884</v>
      </c>
      <c r="B85" s="5" t="s">
        <v>547</v>
      </c>
      <c r="C85" s="5" t="s">
        <v>2</v>
      </c>
      <c r="D85" s="8" t="s">
        <v>380</v>
      </c>
      <c r="E85" s="9" t="s">
        <v>381</v>
      </c>
      <c r="F85" s="5" t="s">
        <v>291</v>
      </c>
      <c r="G85" s="5" t="s">
        <v>1586</v>
      </c>
      <c r="H85" s="5" t="s">
        <v>211</v>
      </c>
      <c r="I85" s="5" t="s">
        <v>212</v>
      </c>
      <c r="J85" s="5" t="s">
        <v>213</v>
      </c>
      <c r="K85" s="5" t="s">
        <v>602</v>
      </c>
      <c r="O85" s="5" t="s">
        <v>379</v>
      </c>
    </row>
    <row r="86" spans="1:15" ht="45" customHeight="1" x14ac:dyDescent="0.45">
      <c r="A86" s="5" t="s">
        <v>1885</v>
      </c>
      <c r="B86" s="5" t="s">
        <v>547</v>
      </c>
      <c r="C86" s="5" t="s">
        <v>302</v>
      </c>
      <c r="D86" s="8" t="s">
        <v>383</v>
      </c>
      <c r="E86" s="9" t="s">
        <v>382</v>
      </c>
      <c r="F86" s="5" t="s">
        <v>291</v>
      </c>
      <c r="G86" s="5" t="s">
        <v>1586</v>
      </c>
      <c r="H86" s="5" t="s">
        <v>211</v>
      </c>
      <c r="I86" s="5" t="s">
        <v>212</v>
      </c>
      <c r="J86" s="5" t="s">
        <v>213</v>
      </c>
      <c r="K86" s="5" t="s">
        <v>602</v>
      </c>
      <c r="O86" s="5" t="s">
        <v>384</v>
      </c>
    </row>
    <row r="87" spans="1:15" ht="45" customHeight="1" x14ac:dyDescent="0.45">
      <c r="A87" s="5" t="s">
        <v>1886</v>
      </c>
      <c r="B87" s="5" t="s">
        <v>547</v>
      </c>
      <c r="C87" s="5" t="s">
        <v>385</v>
      </c>
      <c r="D87" s="8" t="s">
        <v>386</v>
      </c>
      <c r="E87" s="9" t="s">
        <v>388</v>
      </c>
      <c r="F87" s="5" t="s">
        <v>291</v>
      </c>
      <c r="G87" s="5" t="s">
        <v>1586</v>
      </c>
      <c r="H87" s="5" t="s">
        <v>211</v>
      </c>
      <c r="I87" s="5" t="s">
        <v>212</v>
      </c>
      <c r="J87" s="5" t="s">
        <v>213</v>
      </c>
      <c r="K87" s="5" t="s">
        <v>602</v>
      </c>
      <c r="O87" s="5" t="s">
        <v>387</v>
      </c>
    </row>
    <row r="88" spans="1:15" ht="45" customHeight="1" x14ac:dyDescent="0.45">
      <c r="A88" s="5" t="s">
        <v>1887</v>
      </c>
      <c r="B88" s="5" t="s">
        <v>547</v>
      </c>
      <c r="C88" s="5" t="s">
        <v>182</v>
      </c>
      <c r="D88" s="8" t="s">
        <v>333</v>
      </c>
      <c r="E88" s="9" t="s">
        <v>334</v>
      </c>
      <c r="F88" s="5" t="s">
        <v>245</v>
      </c>
      <c r="G88" s="5" t="s">
        <v>1586</v>
      </c>
      <c r="H88" s="5" t="s">
        <v>211</v>
      </c>
      <c r="I88" s="5" t="s">
        <v>212</v>
      </c>
      <c r="J88" s="5" t="s">
        <v>213</v>
      </c>
      <c r="K88" s="5" t="s">
        <v>602</v>
      </c>
      <c r="O88" s="5" t="s">
        <v>332</v>
      </c>
    </row>
    <row r="89" spans="1:15" ht="45" customHeight="1" x14ac:dyDescent="0.45">
      <c r="A89" s="5" t="s">
        <v>1888</v>
      </c>
      <c r="B89" s="5" t="s">
        <v>547</v>
      </c>
      <c r="C89" s="5" t="s">
        <v>389</v>
      </c>
      <c r="D89" s="8" t="s">
        <v>390</v>
      </c>
      <c r="E89" s="9" t="s">
        <v>391</v>
      </c>
      <c r="F89" s="5" t="s">
        <v>291</v>
      </c>
      <c r="G89" s="5" t="s">
        <v>1586</v>
      </c>
      <c r="H89" s="5" t="s">
        <v>211</v>
      </c>
      <c r="I89" s="5" t="s">
        <v>212</v>
      </c>
      <c r="J89" s="5" t="s">
        <v>213</v>
      </c>
      <c r="K89" s="5" t="s">
        <v>602</v>
      </c>
    </row>
    <row r="90" spans="1:15" ht="45" customHeight="1" x14ac:dyDescent="0.45">
      <c r="A90" s="5" t="s">
        <v>1889</v>
      </c>
      <c r="B90" s="5" t="s">
        <v>547</v>
      </c>
      <c r="C90" s="5" t="s">
        <v>392</v>
      </c>
      <c r="D90" s="8" t="s">
        <v>393</v>
      </c>
      <c r="E90" s="9" t="s">
        <v>394</v>
      </c>
      <c r="F90" s="5" t="s">
        <v>291</v>
      </c>
      <c r="G90" s="5" t="s">
        <v>1586</v>
      </c>
      <c r="H90" s="5" t="s">
        <v>211</v>
      </c>
      <c r="I90" s="5" t="s">
        <v>212</v>
      </c>
      <c r="J90" s="5" t="s">
        <v>213</v>
      </c>
      <c r="K90" s="5" t="s">
        <v>602</v>
      </c>
      <c r="O90" s="5" t="s">
        <v>395</v>
      </c>
    </row>
    <row r="91" spans="1:15" ht="45" customHeight="1" x14ac:dyDescent="0.45">
      <c r="A91" s="5" t="s">
        <v>1890</v>
      </c>
      <c r="B91" s="5" t="s">
        <v>547</v>
      </c>
      <c r="C91" s="5" t="s">
        <v>396</v>
      </c>
      <c r="D91" s="8" t="s">
        <v>397</v>
      </c>
      <c r="E91" s="9" t="s">
        <v>398</v>
      </c>
      <c r="F91" s="5" t="s">
        <v>27</v>
      </c>
      <c r="G91" s="5" t="s">
        <v>1586</v>
      </c>
      <c r="H91" s="5" t="s">
        <v>211</v>
      </c>
      <c r="I91" s="5" t="s">
        <v>212</v>
      </c>
      <c r="J91" s="5" t="s">
        <v>213</v>
      </c>
      <c r="K91" s="5" t="s">
        <v>602</v>
      </c>
      <c r="O91" s="5" t="s">
        <v>399</v>
      </c>
    </row>
    <row r="92" spans="1:15" ht="45" customHeight="1" x14ac:dyDescent="0.45">
      <c r="A92" s="5" t="s">
        <v>1891</v>
      </c>
      <c r="B92" s="5" t="s">
        <v>547</v>
      </c>
      <c r="C92" s="5" t="s">
        <v>304</v>
      </c>
      <c r="D92" s="8" t="s">
        <v>307</v>
      </c>
      <c r="E92" s="9" t="s">
        <v>400</v>
      </c>
      <c r="F92" s="5" t="s">
        <v>266</v>
      </c>
      <c r="G92" s="5" t="s">
        <v>662</v>
      </c>
      <c r="H92" s="5" t="s">
        <v>401</v>
      </c>
      <c r="I92" s="5" t="s">
        <v>212</v>
      </c>
      <c r="J92" s="5" t="s">
        <v>213</v>
      </c>
      <c r="K92" s="5" t="s">
        <v>602</v>
      </c>
      <c r="O92" s="5" t="s">
        <v>402</v>
      </c>
    </row>
    <row r="93" spans="1:15" ht="45" customHeight="1" x14ac:dyDescent="0.45">
      <c r="A93" s="5" t="s">
        <v>1892</v>
      </c>
      <c r="B93" s="5" t="s">
        <v>547</v>
      </c>
      <c r="C93" s="5" t="s">
        <v>336</v>
      </c>
      <c r="D93" s="8" t="s">
        <v>337</v>
      </c>
      <c r="E93" s="9" t="s">
        <v>335</v>
      </c>
      <c r="F93" s="5" t="s">
        <v>291</v>
      </c>
      <c r="G93" s="5" t="s">
        <v>1586</v>
      </c>
      <c r="H93" s="5" t="s">
        <v>211</v>
      </c>
      <c r="I93" s="5" t="s">
        <v>212</v>
      </c>
      <c r="J93" s="5" t="s">
        <v>213</v>
      </c>
      <c r="K93" s="5" t="s">
        <v>602</v>
      </c>
      <c r="O93" s="5" t="s">
        <v>339</v>
      </c>
    </row>
    <row r="94" spans="1:15" ht="45" customHeight="1" x14ac:dyDescent="0.45">
      <c r="A94" s="5" t="s">
        <v>1893</v>
      </c>
      <c r="B94" s="5" t="s">
        <v>547</v>
      </c>
      <c r="C94" s="5" t="s">
        <v>403</v>
      </c>
      <c r="D94" s="8" t="s">
        <v>404</v>
      </c>
      <c r="E94" s="9" t="s">
        <v>405</v>
      </c>
      <c r="F94" s="5" t="s">
        <v>266</v>
      </c>
      <c r="G94" s="5" t="s">
        <v>1586</v>
      </c>
      <c r="H94" s="5" t="s">
        <v>211</v>
      </c>
      <c r="I94" s="5" t="s">
        <v>212</v>
      </c>
      <c r="J94" s="5" t="s">
        <v>213</v>
      </c>
      <c r="K94" s="5" t="s">
        <v>602</v>
      </c>
      <c r="O94" s="5" t="s">
        <v>406</v>
      </c>
    </row>
    <row r="95" spans="1:15" ht="45" customHeight="1" x14ac:dyDescent="0.45">
      <c r="A95" s="5" t="s">
        <v>1894</v>
      </c>
      <c r="B95" s="5" t="s">
        <v>547</v>
      </c>
      <c r="C95" s="5" t="s">
        <v>408</v>
      </c>
      <c r="D95" s="8" t="s">
        <v>311</v>
      </c>
      <c r="E95" s="9" t="s">
        <v>409</v>
      </c>
      <c r="F95" s="5" t="s">
        <v>291</v>
      </c>
      <c r="G95" s="5" t="s">
        <v>1586</v>
      </c>
      <c r="H95" s="5" t="s">
        <v>211</v>
      </c>
      <c r="I95" s="5" t="s">
        <v>212</v>
      </c>
      <c r="J95" s="5" t="s">
        <v>213</v>
      </c>
      <c r="K95" s="5" t="s">
        <v>602</v>
      </c>
      <c r="O95" s="5" t="s">
        <v>407</v>
      </c>
    </row>
    <row r="96" spans="1:15" ht="45" customHeight="1" x14ac:dyDescent="0.45">
      <c r="A96" s="5" t="s">
        <v>1895</v>
      </c>
      <c r="B96" s="5" t="s">
        <v>547</v>
      </c>
      <c r="C96" s="5" t="s">
        <v>306</v>
      </c>
      <c r="D96" s="8" t="s">
        <v>315</v>
      </c>
      <c r="E96" s="9" t="s">
        <v>410</v>
      </c>
      <c r="F96" s="5" t="s">
        <v>291</v>
      </c>
      <c r="G96" s="5" t="s">
        <v>1586</v>
      </c>
      <c r="H96" s="5" t="s">
        <v>211</v>
      </c>
      <c r="I96" s="5" t="s">
        <v>212</v>
      </c>
      <c r="J96" s="5" t="s">
        <v>213</v>
      </c>
      <c r="K96" s="5" t="s">
        <v>602</v>
      </c>
      <c r="O96" s="5" t="s">
        <v>411</v>
      </c>
    </row>
    <row r="97" spans="1:15" ht="45" customHeight="1" x14ac:dyDescent="0.45">
      <c r="A97" s="5" t="s">
        <v>1896</v>
      </c>
      <c r="B97" s="5" t="s">
        <v>547</v>
      </c>
      <c r="C97" s="5" t="s">
        <v>413</v>
      </c>
      <c r="D97" s="8" t="s">
        <v>414</v>
      </c>
      <c r="E97" s="9" t="s">
        <v>415</v>
      </c>
      <c r="F97" s="5" t="s">
        <v>291</v>
      </c>
      <c r="G97" s="5" t="s">
        <v>1586</v>
      </c>
      <c r="H97" s="5" t="s">
        <v>211</v>
      </c>
      <c r="I97" s="5" t="s">
        <v>212</v>
      </c>
      <c r="J97" s="5" t="s">
        <v>213</v>
      </c>
      <c r="K97" s="5" t="s">
        <v>602</v>
      </c>
      <c r="O97" s="5" t="s">
        <v>412</v>
      </c>
    </row>
    <row r="98" spans="1:15" ht="45" customHeight="1" x14ac:dyDescent="0.45">
      <c r="A98" s="5" t="s">
        <v>1897</v>
      </c>
      <c r="B98" s="5" t="s">
        <v>547</v>
      </c>
      <c r="C98" s="5" t="s">
        <v>308</v>
      </c>
      <c r="D98" s="8" t="s">
        <v>318</v>
      </c>
      <c r="E98" s="9" t="s">
        <v>416</v>
      </c>
      <c r="F98" s="5" t="s">
        <v>266</v>
      </c>
      <c r="G98" s="5" t="s">
        <v>1586</v>
      </c>
      <c r="H98" s="5" t="s">
        <v>211</v>
      </c>
      <c r="I98" s="5" t="s">
        <v>212</v>
      </c>
      <c r="J98" s="5" t="s">
        <v>213</v>
      </c>
      <c r="K98" s="5" t="s">
        <v>602</v>
      </c>
    </row>
    <row r="99" spans="1:15" ht="45" customHeight="1" x14ac:dyDescent="0.45">
      <c r="A99" s="5" t="s">
        <v>1898</v>
      </c>
      <c r="B99" s="5" t="s">
        <v>547</v>
      </c>
      <c r="C99" s="5" t="s">
        <v>243</v>
      </c>
      <c r="D99" s="8" t="s">
        <v>248</v>
      </c>
      <c r="E99" s="9" t="s">
        <v>338</v>
      </c>
      <c r="F99" s="5" t="s">
        <v>291</v>
      </c>
      <c r="G99" s="5" t="s">
        <v>1586</v>
      </c>
      <c r="H99" s="5" t="s">
        <v>211</v>
      </c>
      <c r="I99" s="5" t="s">
        <v>212</v>
      </c>
      <c r="J99" s="5" t="s">
        <v>213</v>
      </c>
      <c r="K99" s="5" t="s">
        <v>602</v>
      </c>
      <c r="O99" s="5" t="s">
        <v>340</v>
      </c>
    </row>
    <row r="100" spans="1:15" ht="45" customHeight="1" x14ac:dyDescent="0.45">
      <c r="A100" s="5" t="s">
        <v>1899</v>
      </c>
      <c r="B100" s="5" t="s">
        <v>547</v>
      </c>
      <c r="C100" s="5" t="s">
        <v>310</v>
      </c>
      <c r="D100" s="8" t="s">
        <v>319</v>
      </c>
      <c r="E100" s="9" t="s">
        <v>417</v>
      </c>
      <c r="F100" s="5" t="s">
        <v>291</v>
      </c>
      <c r="G100" s="5" t="s">
        <v>1586</v>
      </c>
      <c r="H100" s="5" t="s">
        <v>211</v>
      </c>
      <c r="I100" s="5" t="s">
        <v>212</v>
      </c>
      <c r="J100" s="5" t="s">
        <v>213</v>
      </c>
      <c r="K100" s="5" t="s">
        <v>602</v>
      </c>
    </row>
    <row r="101" spans="1:15" ht="45" customHeight="1" x14ac:dyDescent="0.45">
      <c r="A101" s="5" t="s">
        <v>1900</v>
      </c>
      <c r="B101" s="5" t="s">
        <v>547</v>
      </c>
      <c r="C101" s="5" t="s">
        <v>312</v>
      </c>
      <c r="D101" s="8" t="s">
        <v>321</v>
      </c>
      <c r="E101" s="9" t="s">
        <v>418</v>
      </c>
      <c r="F101" s="5" t="s">
        <v>291</v>
      </c>
      <c r="G101" s="5" t="s">
        <v>1586</v>
      </c>
      <c r="H101" s="5" t="s">
        <v>211</v>
      </c>
      <c r="I101" s="5" t="s">
        <v>212</v>
      </c>
      <c r="J101" s="5" t="s">
        <v>213</v>
      </c>
      <c r="K101" s="5" t="s">
        <v>602</v>
      </c>
    </row>
    <row r="102" spans="1:15" ht="45" customHeight="1" x14ac:dyDescent="0.45">
      <c r="A102" s="5" t="s">
        <v>1901</v>
      </c>
      <c r="B102" s="5" t="s">
        <v>547</v>
      </c>
      <c r="C102" s="5" t="s">
        <v>314</v>
      </c>
      <c r="D102" s="8" t="s">
        <v>419</v>
      </c>
      <c r="E102" s="9" t="s">
        <v>420</v>
      </c>
      <c r="F102" s="5" t="s">
        <v>291</v>
      </c>
      <c r="G102" s="5" t="s">
        <v>662</v>
      </c>
      <c r="H102" s="5" t="s">
        <v>401</v>
      </c>
      <c r="I102" s="5" t="s">
        <v>212</v>
      </c>
      <c r="J102" s="5" t="s">
        <v>213</v>
      </c>
      <c r="K102" s="5" t="s">
        <v>602</v>
      </c>
    </row>
    <row r="103" spans="1:15" ht="45" customHeight="1" x14ac:dyDescent="0.45">
      <c r="A103" s="5" t="s">
        <v>1902</v>
      </c>
      <c r="B103" s="5" t="s">
        <v>547</v>
      </c>
      <c r="C103" s="5" t="s">
        <v>421</v>
      </c>
      <c r="D103" s="8" t="s">
        <v>324</v>
      </c>
      <c r="E103" s="9" t="s">
        <v>422</v>
      </c>
      <c r="F103" s="5" t="s">
        <v>266</v>
      </c>
      <c r="G103" s="5" t="s">
        <v>1586</v>
      </c>
      <c r="H103" s="5" t="s">
        <v>211</v>
      </c>
      <c r="I103" s="5" t="s">
        <v>212</v>
      </c>
      <c r="J103" s="5" t="s">
        <v>213</v>
      </c>
      <c r="K103" s="5" t="s">
        <v>602</v>
      </c>
    </row>
    <row r="104" spans="1:15" ht="45" customHeight="1" x14ac:dyDescent="0.45">
      <c r="A104" s="5" t="s">
        <v>1903</v>
      </c>
      <c r="B104" s="5" t="s">
        <v>547</v>
      </c>
      <c r="C104" s="5" t="s">
        <v>423</v>
      </c>
      <c r="D104" s="8" t="s">
        <v>424</v>
      </c>
      <c r="E104" s="9" t="s">
        <v>335</v>
      </c>
      <c r="F104" s="5" t="s">
        <v>291</v>
      </c>
      <c r="G104" s="5" t="s">
        <v>1586</v>
      </c>
      <c r="H104" s="5" t="s">
        <v>211</v>
      </c>
      <c r="I104" s="5" t="s">
        <v>212</v>
      </c>
      <c r="J104" s="5" t="s">
        <v>213</v>
      </c>
      <c r="K104" s="5" t="s">
        <v>602</v>
      </c>
    </row>
    <row r="105" spans="1:15" ht="45" customHeight="1" x14ac:dyDescent="0.45">
      <c r="A105" s="5" t="s">
        <v>1904</v>
      </c>
      <c r="B105" s="5" t="s">
        <v>547</v>
      </c>
      <c r="C105" s="5" t="s">
        <v>425</v>
      </c>
      <c r="D105" s="8" t="s">
        <v>426</v>
      </c>
      <c r="E105" s="9" t="s">
        <v>427</v>
      </c>
      <c r="F105" s="5" t="s">
        <v>291</v>
      </c>
      <c r="G105" s="5" t="s">
        <v>1586</v>
      </c>
      <c r="H105" s="5" t="s">
        <v>211</v>
      </c>
      <c r="I105" s="5" t="s">
        <v>212</v>
      </c>
      <c r="J105" s="5" t="s">
        <v>213</v>
      </c>
      <c r="K105" s="5" t="s">
        <v>602</v>
      </c>
    </row>
    <row r="106" spans="1:15" ht="45" customHeight="1" x14ac:dyDescent="0.45">
      <c r="A106" s="5" t="s">
        <v>1905</v>
      </c>
      <c r="B106" s="5" t="s">
        <v>547</v>
      </c>
      <c r="C106" s="5" t="s">
        <v>428</v>
      </c>
      <c r="D106" s="8" t="s">
        <v>429</v>
      </c>
      <c r="E106" s="9" t="s">
        <v>430</v>
      </c>
      <c r="F106" s="5" t="s">
        <v>291</v>
      </c>
      <c r="G106" s="5" t="s">
        <v>1586</v>
      </c>
      <c r="H106" s="5" t="s">
        <v>211</v>
      </c>
      <c r="I106" s="5" t="s">
        <v>212</v>
      </c>
      <c r="J106" s="5" t="s">
        <v>213</v>
      </c>
      <c r="K106" s="5" t="s">
        <v>602</v>
      </c>
    </row>
    <row r="107" spans="1:15" ht="45" customHeight="1" x14ac:dyDescent="0.45">
      <c r="A107" s="5" t="s">
        <v>1906</v>
      </c>
      <c r="B107" s="5" t="s">
        <v>547</v>
      </c>
      <c r="C107" s="5" t="s">
        <v>431</v>
      </c>
      <c r="D107" s="8" t="s">
        <v>432</v>
      </c>
      <c r="E107" s="9" t="s">
        <v>433</v>
      </c>
      <c r="F107" s="5" t="s">
        <v>291</v>
      </c>
      <c r="G107" s="5" t="s">
        <v>1586</v>
      </c>
      <c r="H107" s="5" t="s">
        <v>211</v>
      </c>
      <c r="I107" s="5" t="s">
        <v>212</v>
      </c>
      <c r="J107" s="5" t="s">
        <v>213</v>
      </c>
      <c r="K107" s="5" t="s">
        <v>602</v>
      </c>
    </row>
    <row r="108" spans="1:15" ht="45" customHeight="1" x14ac:dyDescent="0.45">
      <c r="A108" s="5" t="s">
        <v>1907</v>
      </c>
      <c r="B108" s="5" t="s">
        <v>547</v>
      </c>
      <c r="C108" s="5" t="s">
        <v>434</v>
      </c>
      <c r="D108" s="8" t="s">
        <v>435</v>
      </c>
      <c r="E108" s="9" t="s">
        <v>420</v>
      </c>
      <c r="F108" s="5" t="s">
        <v>291</v>
      </c>
      <c r="G108" s="5" t="s">
        <v>1586</v>
      </c>
      <c r="H108" s="5" t="s">
        <v>211</v>
      </c>
      <c r="I108" s="5" t="s">
        <v>212</v>
      </c>
      <c r="J108" s="5" t="s">
        <v>213</v>
      </c>
      <c r="K108" s="5" t="s">
        <v>602</v>
      </c>
    </row>
    <row r="109" spans="1:15" ht="45" customHeight="1" x14ac:dyDescent="0.45">
      <c r="A109" s="5" t="s">
        <v>1908</v>
      </c>
      <c r="B109" s="5" t="s">
        <v>547</v>
      </c>
      <c r="C109" s="5" t="s">
        <v>247</v>
      </c>
      <c r="D109" s="8" t="s">
        <v>244</v>
      </c>
      <c r="E109" s="9" t="s">
        <v>350</v>
      </c>
      <c r="F109" s="5" t="s">
        <v>291</v>
      </c>
      <c r="G109" s="5" t="s">
        <v>1586</v>
      </c>
      <c r="H109" s="5" t="s">
        <v>211</v>
      </c>
      <c r="I109" s="5" t="s">
        <v>212</v>
      </c>
      <c r="J109" s="5" t="s">
        <v>213</v>
      </c>
      <c r="K109" s="5" t="s">
        <v>602</v>
      </c>
      <c r="O109" s="5" t="s">
        <v>341</v>
      </c>
    </row>
    <row r="110" spans="1:15" ht="45" customHeight="1" x14ac:dyDescent="0.45">
      <c r="A110" s="5" t="s">
        <v>1909</v>
      </c>
      <c r="B110" s="5" t="s">
        <v>547</v>
      </c>
      <c r="C110" s="5" t="s">
        <v>436</v>
      </c>
      <c r="D110" s="8" t="s">
        <v>437</v>
      </c>
      <c r="E110" s="9" t="s">
        <v>438</v>
      </c>
      <c r="F110" s="5" t="s">
        <v>291</v>
      </c>
      <c r="G110" s="5" t="s">
        <v>1586</v>
      </c>
      <c r="H110" s="5" t="s">
        <v>211</v>
      </c>
      <c r="I110" s="5" t="s">
        <v>212</v>
      </c>
      <c r="J110" s="5" t="s">
        <v>213</v>
      </c>
      <c r="K110" s="5" t="s">
        <v>602</v>
      </c>
    </row>
    <row r="111" spans="1:15" ht="45" customHeight="1" x14ac:dyDescent="0.45">
      <c r="A111" s="5" t="s">
        <v>1910</v>
      </c>
      <c r="B111" s="5" t="s">
        <v>547</v>
      </c>
      <c r="C111" s="5" t="s">
        <v>283</v>
      </c>
      <c r="D111" s="8" t="s">
        <v>439</v>
      </c>
      <c r="E111" s="9" t="s">
        <v>440</v>
      </c>
      <c r="F111" s="5" t="s">
        <v>291</v>
      </c>
      <c r="G111" s="5" t="s">
        <v>1586</v>
      </c>
      <c r="H111" s="5" t="s">
        <v>211</v>
      </c>
      <c r="I111" s="5" t="s">
        <v>212</v>
      </c>
      <c r="J111" s="5" t="s">
        <v>213</v>
      </c>
      <c r="K111" s="5" t="s">
        <v>602</v>
      </c>
    </row>
    <row r="112" spans="1:15" ht="45" customHeight="1" x14ac:dyDescent="0.45">
      <c r="A112" s="5" t="s">
        <v>1911</v>
      </c>
      <c r="B112" s="5" t="s">
        <v>547</v>
      </c>
      <c r="C112" s="5" t="s">
        <v>441</v>
      </c>
      <c r="D112" s="8" t="s">
        <v>327</v>
      </c>
      <c r="E112" s="9" t="s">
        <v>353</v>
      </c>
      <c r="F112" s="5" t="s">
        <v>291</v>
      </c>
      <c r="G112" s="5" t="s">
        <v>1586</v>
      </c>
      <c r="H112" s="5" t="s">
        <v>211</v>
      </c>
      <c r="I112" s="5" t="s">
        <v>216</v>
      </c>
      <c r="J112" s="5" t="s">
        <v>598</v>
      </c>
      <c r="K112" s="5" t="s">
        <v>606</v>
      </c>
    </row>
    <row r="113" spans="1:17" ht="45" customHeight="1" x14ac:dyDescent="0.45">
      <c r="A113" s="5" t="s">
        <v>1912</v>
      </c>
      <c r="B113" s="5" t="s">
        <v>547</v>
      </c>
      <c r="C113" s="5" t="s">
        <v>442</v>
      </c>
      <c r="D113" s="8" t="s">
        <v>443</v>
      </c>
      <c r="E113" s="9" t="s">
        <v>353</v>
      </c>
      <c r="F113" s="5" t="s">
        <v>291</v>
      </c>
      <c r="G113" s="5" t="s">
        <v>1586</v>
      </c>
      <c r="H113" s="5" t="s">
        <v>211</v>
      </c>
      <c r="I113" s="5" t="s">
        <v>212</v>
      </c>
      <c r="J113" s="5" t="s">
        <v>213</v>
      </c>
      <c r="K113" s="5" t="s">
        <v>602</v>
      </c>
    </row>
    <row r="114" spans="1:17" ht="45" customHeight="1" x14ac:dyDescent="0.45">
      <c r="A114" s="5" t="s">
        <v>1913</v>
      </c>
      <c r="B114" s="5" t="s">
        <v>1</v>
      </c>
      <c r="C114" s="5" t="s">
        <v>2</v>
      </c>
      <c r="D114" s="8">
        <v>15</v>
      </c>
      <c r="E114" s="9" t="s">
        <v>3</v>
      </c>
      <c r="F114" s="5" t="s">
        <v>51</v>
      </c>
      <c r="G114" s="5" t="s">
        <v>216</v>
      </c>
      <c r="H114" s="5" t="s">
        <v>226</v>
      </c>
      <c r="I114" s="5" t="s">
        <v>221</v>
      </c>
      <c r="J114" s="5" t="s">
        <v>222</v>
      </c>
      <c r="K114" s="5" t="s">
        <v>606</v>
      </c>
      <c r="O114" s="5" t="s">
        <v>5</v>
      </c>
      <c r="P114" s="5" t="s">
        <v>7</v>
      </c>
      <c r="Q114" s="5" t="s">
        <v>8</v>
      </c>
    </row>
    <row r="115" spans="1:17" ht="45" customHeight="1" x14ac:dyDescent="0.45">
      <c r="A115" s="5" t="s">
        <v>1914</v>
      </c>
      <c r="B115" s="5" t="s">
        <v>1</v>
      </c>
      <c r="C115" s="5" t="s">
        <v>13</v>
      </c>
      <c r="D115" s="8">
        <v>35</v>
      </c>
      <c r="E115" s="9" t="s">
        <v>12</v>
      </c>
      <c r="F115" s="5" t="s">
        <v>291</v>
      </c>
      <c r="G115" s="5" t="s">
        <v>216</v>
      </c>
      <c r="H115" s="5" t="s">
        <v>226</v>
      </c>
      <c r="I115" s="5" t="s">
        <v>219</v>
      </c>
      <c r="J115" s="5" t="s">
        <v>220</v>
      </c>
      <c r="K115" s="5" t="s">
        <v>606</v>
      </c>
      <c r="O115" s="5" t="s">
        <v>10</v>
      </c>
      <c r="P115" s="5" t="s">
        <v>11</v>
      </c>
      <c r="Q115" s="5" t="s">
        <v>9</v>
      </c>
    </row>
    <row r="116" spans="1:17" ht="45" customHeight="1" x14ac:dyDescent="0.45">
      <c r="A116" s="5" t="s">
        <v>1915</v>
      </c>
      <c r="B116" s="5" t="s">
        <v>1</v>
      </c>
      <c r="C116" s="5" t="s">
        <v>14</v>
      </c>
      <c r="D116" s="8">
        <v>37</v>
      </c>
      <c r="E116" s="9" t="s">
        <v>16</v>
      </c>
      <c r="F116" s="5" t="s">
        <v>291</v>
      </c>
      <c r="G116" s="5" t="s">
        <v>216</v>
      </c>
      <c r="H116" s="5" t="s">
        <v>226</v>
      </c>
      <c r="I116" s="5" t="s">
        <v>221</v>
      </c>
      <c r="J116" s="5" t="s">
        <v>222</v>
      </c>
      <c r="K116" s="5" t="s">
        <v>606</v>
      </c>
      <c r="O116" s="5" t="s">
        <v>17</v>
      </c>
      <c r="P116" s="5" t="s">
        <v>18</v>
      </c>
      <c r="Q116" s="5" t="s">
        <v>15</v>
      </c>
    </row>
    <row r="117" spans="1:17" ht="45" customHeight="1" x14ac:dyDescent="0.45">
      <c r="A117" s="5" t="s">
        <v>1916</v>
      </c>
      <c r="B117" s="5" t="s">
        <v>1</v>
      </c>
      <c r="C117" s="5" t="s">
        <v>19</v>
      </c>
      <c r="D117" s="8">
        <v>42</v>
      </c>
      <c r="E117" s="9" t="s">
        <v>20</v>
      </c>
      <c r="F117" s="5" t="s">
        <v>291</v>
      </c>
      <c r="G117" s="5" t="s">
        <v>216</v>
      </c>
      <c r="H117" s="5" t="s">
        <v>226</v>
      </c>
      <c r="I117" s="5" t="s">
        <v>221</v>
      </c>
      <c r="J117" s="5" t="s">
        <v>222</v>
      </c>
      <c r="K117" s="5" t="s">
        <v>606</v>
      </c>
      <c r="O117" s="5" t="s">
        <v>22</v>
      </c>
      <c r="P117" s="5" t="s">
        <v>23</v>
      </c>
      <c r="Q117" s="5" t="s">
        <v>21</v>
      </c>
    </row>
    <row r="118" spans="1:17" ht="45" customHeight="1" x14ac:dyDescent="0.45">
      <c r="A118" s="5" t="s">
        <v>1917</v>
      </c>
      <c r="B118" s="5" t="s">
        <v>1</v>
      </c>
      <c r="C118" s="5" t="s">
        <v>24</v>
      </c>
      <c r="D118" s="8">
        <v>77</v>
      </c>
      <c r="E118" s="9" t="s">
        <v>63</v>
      </c>
      <c r="F118" s="5" t="s">
        <v>27</v>
      </c>
      <c r="G118" s="5" t="s">
        <v>1586</v>
      </c>
      <c r="H118" s="5" t="s">
        <v>211</v>
      </c>
      <c r="I118" s="5" t="s">
        <v>221</v>
      </c>
      <c r="J118" s="5" t="s">
        <v>222</v>
      </c>
      <c r="K118" s="5" t="s">
        <v>606</v>
      </c>
      <c r="O118" s="5" t="s">
        <v>29</v>
      </c>
      <c r="P118" s="5" t="s">
        <v>30</v>
      </c>
      <c r="Q118" s="5" t="s">
        <v>28</v>
      </c>
    </row>
    <row r="119" spans="1:17" ht="45" customHeight="1" x14ac:dyDescent="0.45">
      <c r="A119" s="5" t="s">
        <v>1918</v>
      </c>
      <c r="B119" s="5" t="s">
        <v>1</v>
      </c>
      <c r="C119" s="5" t="s">
        <v>31</v>
      </c>
      <c r="D119" s="8">
        <v>113</v>
      </c>
      <c r="E119" s="9" t="s">
        <v>33</v>
      </c>
      <c r="F119" s="5" t="s">
        <v>1602</v>
      </c>
      <c r="G119" s="5" t="s">
        <v>227</v>
      </c>
      <c r="H119" s="5" t="s">
        <v>228</v>
      </c>
      <c r="I119" s="5" t="s">
        <v>221</v>
      </c>
      <c r="J119" s="5" t="s">
        <v>222</v>
      </c>
      <c r="K119" s="5" t="s">
        <v>600</v>
      </c>
      <c r="O119" s="5" t="s">
        <v>34</v>
      </c>
      <c r="P119" s="5" t="s">
        <v>35</v>
      </c>
      <c r="Q119" s="5" t="s">
        <v>32</v>
      </c>
    </row>
    <row r="120" spans="1:17" ht="45" customHeight="1" x14ac:dyDescent="0.45">
      <c r="A120" s="5" t="s">
        <v>1919</v>
      </c>
      <c r="B120" s="5" t="s">
        <v>1</v>
      </c>
      <c r="C120" s="5" t="s">
        <v>48</v>
      </c>
      <c r="D120" s="8">
        <v>129</v>
      </c>
      <c r="E120" s="9" t="s">
        <v>49</v>
      </c>
      <c r="F120" s="5" t="s">
        <v>50</v>
      </c>
      <c r="G120" s="5" t="s">
        <v>217</v>
      </c>
      <c r="H120" s="5" t="s">
        <v>218</v>
      </c>
      <c r="I120" s="5" t="s">
        <v>221</v>
      </c>
      <c r="J120" s="5" t="s">
        <v>222</v>
      </c>
      <c r="K120" s="5" t="s">
        <v>606</v>
      </c>
      <c r="O120" s="5" t="s">
        <v>52</v>
      </c>
      <c r="P120" s="5" t="s">
        <v>54</v>
      </c>
      <c r="Q120" s="5" t="s">
        <v>53</v>
      </c>
    </row>
    <row r="121" spans="1:17" ht="45" customHeight="1" x14ac:dyDescent="0.45">
      <c r="A121" s="5" t="s">
        <v>1920</v>
      </c>
      <c r="B121" s="5" t="s">
        <v>1</v>
      </c>
      <c r="C121" s="5" t="s">
        <v>36</v>
      </c>
      <c r="D121" s="8" t="s">
        <v>43</v>
      </c>
      <c r="E121" s="9" t="s">
        <v>37</v>
      </c>
      <c r="F121" s="5" t="s">
        <v>27</v>
      </c>
      <c r="G121" s="5" t="s">
        <v>229</v>
      </c>
      <c r="H121" s="5" t="s">
        <v>230</v>
      </c>
      <c r="I121" s="5" t="s">
        <v>221</v>
      </c>
      <c r="J121" s="5" t="s">
        <v>222</v>
      </c>
      <c r="K121" s="5" t="s">
        <v>606</v>
      </c>
      <c r="O121" s="5" t="s">
        <v>39</v>
      </c>
      <c r="P121" s="5" t="s">
        <v>40</v>
      </c>
      <c r="Q121" s="5" t="s">
        <v>38</v>
      </c>
    </row>
    <row r="122" spans="1:17" ht="45" customHeight="1" x14ac:dyDescent="0.45">
      <c r="A122" s="5" t="s">
        <v>1921</v>
      </c>
      <c r="B122" s="5" t="s">
        <v>1</v>
      </c>
      <c r="C122" s="5" t="s">
        <v>41</v>
      </c>
      <c r="D122" s="8" t="s">
        <v>42</v>
      </c>
      <c r="E122" s="9" t="s">
        <v>44</v>
      </c>
      <c r="F122" s="5" t="s">
        <v>27</v>
      </c>
      <c r="G122" s="5" t="s">
        <v>229</v>
      </c>
      <c r="H122" s="5" t="s">
        <v>230</v>
      </c>
      <c r="I122" s="5" t="s">
        <v>221</v>
      </c>
      <c r="J122" s="5" t="s">
        <v>222</v>
      </c>
      <c r="K122" s="5" t="s">
        <v>606</v>
      </c>
      <c r="O122" s="5" t="s">
        <v>46</v>
      </c>
      <c r="P122" s="5" t="s">
        <v>47</v>
      </c>
      <c r="Q122" s="5" t="s">
        <v>45</v>
      </c>
    </row>
    <row r="123" spans="1:17" ht="45" customHeight="1" x14ac:dyDescent="0.45">
      <c r="A123" s="5" t="s">
        <v>1922</v>
      </c>
      <c r="B123" s="5" t="s">
        <v>170</v>
      </c>
      <c r="C123" s="5" t="s">
        <v>171</v>
      </c>
      <c r="D123" s="8">
        <v>1</v>
      </c>
      <c r="E123" s="9" t="s">
        <v>167</v>
      </c>
      <c r="F123" s="5" t="s">
        <v>291</v>
      </c>
      <c r="G123" s="5" t="s">
        <v>1586</v>
      </c>
      <c r="H123" s="5" t="s">
        <v>211</v>
      </c>
      <c r="I123" s="5" t="s">
        <v>223</v>
      </c>
      <c r="J123" s="5" t="s">
        <v>224</v>
      </c>
      <c r="K123" s="5" t="s">
        <v>600</v>
      </c>
      <c r="O123" s="5" t="s">
        <v>169</v>
      </c>
      <c r="Q123" s="5" t="s">
        <v>172</v>
      </c>
    </row>
    <row r="124" spans="1:17" ht="45" customHeight="1" x14ac:dyDescent="0.45">
      <c r="A124" s="5" t="s">
        <v>1923</v>
      </c>
      <c r="B124" s="5" t="s">
        <v>165</v>
      </c>
      <c r="C124" s="5" t="s">
        <v>166</v>
      </c>
      <c r="D124" s="8">
        <v>1</v>
      </c>
      <c r="E124" s="9" t="s">
        <v>167</v>
      </c>
      <c r="F124" s="5" t="s">
        <v>291</v>
      </c>
      <c r="G124" s="5" t="s">
        <v>1586</v>
      </c>
      <c r="H124" s="5" t="s">
        <v>211</v>
      </c>
      <c r="I124" s="5" t="s">
        <v>223</v>
      </c>
      <c r="J124" s="5" t="s">
        <v>224</v>
      </c>
      <c r="K124" s="5" t="s">
        <v>600</v>
      </c>
      <c r="O124" s="5" t="s">
        <v>169</v>
      </c>
      <c r="Q124" s="5" t="s">
        <v>168</v>
      </c>
    </row>
    <row r="125" spans="1:17" ht="45" customHeight="1" x14ac:dyDescent="0.45">
      <c r="A125" s="5" t="s">
        <v>1924</v>
      </c>
      <c r="B125" s="5" t="s">
        <v>1608</v>
      </c>
      <c r="D125" s="8" t="s">
        <v>246</v>
      </c>
      <c r="E125" s="9" t="s">
        <v>1616</v>
      </c>
      <c r="F125" s="5" t="s">
        <v>1620</v>
      </c>
      <c r="G125" s="5" t="s">
        <v>1586</v>
      </c>
      <c r="H125" s="5" t="s">
        <v>211</v>
      </c>
      <c r="I125" s="5" t="s">
        <v>592</v>
      </c>
      <c r="J125" s="5" t="s">
        <v>232</v>
      </c>
      <c r="K125" s="5" t="s">
        <v>606</v>
      </c>
      <c r="M125" s="5" t="s">
        <v>648</v>
      </c>
      <c r="N125" s="5" t="s">
        <v>638</v>
      </c>
      <c r="O125" s="5" t="s">
        <v>1618</v>
      </c>
      <c r="P125" s="5" t="s">
        <v>1619</v>
      </c>
    </row>
    <row r="126" spans="1:17" ht="45" customHeight="1" x14ac:dyDescent="0.45">
      <c r="A126" s="5" t="s">
        <v>1925</v>
      </c>
      <c r="B126" s="5" t="s">
        <v>1608</v>
      </c>
      <c r="D126" s="8" t="s">
        <v>208</v>
      </c>
      <c r="E126" s="9" t="s">
        <v>1570</v>
      </c>
      <c r="F126" s="5" t="s">
        <v>990</v>
      </c>
      <c r="G126" s="5" t="s">
        <v>1586</v>
      </c>
      <c r="H126" s="5" t="s">
        <v>211</v>
      </c>
      <c r="I126" s="5" t="s">
        <v>662</v>
      </c>
      <c r="J126" s="5" t="s">
        <v>401</v>
      </c>
      <c r="K126" s="5" t="s">
        <v>606</v>
      </c>
      <c r="M126" s="5" t="s">
        <v>648</v>
      </c>
      <c r="N126" s="5" t="s">
        <v>638</v>
      </c>
      <c r="O126" s="5" t="s">
        <v>1621</v>
      </c>
      <c r="P126" s="5" t="s">
        <v>1622</v>
      </c>
      <c r="Q126" s="5" t="s">
        <v>1623</v>
      </c>
    </row>
    <row r="127" spans="1:17" ht="45" customHeight="1" x14ac:dyDescent="0.45">
      <c r="A127" s="5" t="s">
        <v>1926</v>
      </c>
      <c r="B127" s="5" t="s">
        <v>1608</v>
      </c>
      <c r="D127" s="8" t="s">
        <v>1625</v>
      </c>
      <c r="E127" s="9" t="s">
        <v>1624</v>
      </c>
      <c r="F127" s="5" t="s">
        <v>990</v>
      </c>
      <c r="G127" s="5" t="s">
        <v>1586</v>
      </c>
      <c r="H127" s="5" t="s">
        <v>211</v>
      </c>
      <c r="I127" s="5" t="s">
        <v>592</v>
      </c>
      <c r="J127" s="5" t="s">
        <v>232</v>
      </c>
      <c r="K127" s="5" t="s">
        <v>606</v>
      </c>
      <c r="M127" s="5" t="s">
        <v>648</v>
      </c>
      <c r="N127" s="5" t="s">
        <v>638</v>
      </c>
      <c r="O127" s="5" t="s">
        <v>1626</v>
      </c>
      <c r="P127" s="5" t="s">
        <v>1628</v>
      </c>
      <c r="Q127" s="5" t="s">
        <v>1627</v>
      </c>
    </row>
    <row r="128" spans="1:17" ht="45" customHeight="1" x14ac:dyDescent="0.45">
      <c r="A128" s="5" t="s">
        <v>1927</v>
      </c>
      <c r="B128" s="5" t="s">
        <v>1608</v>
      </c>
      <c r="D128" s="8" t="s">
        <v>1606</v>
      </c>
      <c r="E128" s="9" t="s">
        <v>1629</v>
      </c>
      <c r="F128" s="5" t="s">
        <v>990</v>
      </c>
      <c r="G128" s="5" t="s">
        <v>1586</v>
      </c>
      <c r="H128" s="5" t="s">
        <v>211</v>
      </c>
      <c r="I128" s="5" t="s">
        <v>592</v>
      </c>
      <c r="J128" s="5" t="s">
        <v>232</v>
      </c>
      <c r="K128" s="5" t="s">
        <v>606</v>
      </c>
      <c r="M128" s="5" t="s">
        <v>648</v>
      </c>
      <c r="N128" s="5" t="s">
        <v>638</v>
      </c>
      <c r="O128" s="5" t="s">
        <v>1630</v>
      </c>
      <c r="P128" s="5" t="s">
        <v>1632</v>
      </c>
      <c r="Q128" s="5" t="s">
        <v>1631</v>
      </c>
    </row>
    <row r="129" spans="1:17" ht="45" customHeight="1" x14ac:dyDescent="0.45">
      <c r="A129" s="5" t="s">
        <v>1928</v>
      </c>
      <c r="B129" s="5" t="s">
        <v>1608</v>
      </c>
      <c r="D129" s="8" t="s">
        <v>295</v>
      </c>
      <c r="E129" s="9" t="s">
        <v>1629</v>
      </c>
      <c r="F129" s="5" t="s">
        <v>990</v>
      </c>
      <c r="G129" s="5" t="s">
        <v>616</v>
      </c>
      <c r="H129" s="5" t="s">
        <v>1633</v>
      </c>
      <c r="I129" s="5" t="s">
        <v>592</v>
      </c>
      <c r="J129" s="5" t="s">
        <v>232</v>
      </c>
      <c r="K129" s="5" t="s">
        <v>606</v>
      </c>
      <c r="M129" s="5" t="s">
        <v>648</v>
      </c>
      <c r="N129" s="5" t="s">
        <v>638</v>
      </c>
      <c r="O129" s="5" t="s">
        <v>1634</v>
      </c>
      <c r="P129" s="5" t="s">
        <v>1635</v>
      </c>
    </row>
    <row r="130" spans="1:17" ht="45" customHeight="1" x14ac:dyDescent="0.45">
      <c r="A130" s="5" t="s">
        <v>1929</v>
      </c>
      <c r="B130" s="5" t="s">
        <v>1608</v>
      </c>
      <c r="D130" s="8" t="s">
        <v>1636</v>
      </c>
      <c r="E130" s="9" t="s">
        <v>1637</v>
      </c>
      <c r="F130" s="5" t="s">
        <v>1638</v>
      </c>
      <c r="G130" s="5" t="s">
        <v>1586</v>
      </c>
      <c r="H130" s="5" t="s">
        <v>211</v>
      </c>
      <c r="I130" s="5" t="s">
        <v>592</v>
      </c>
      <c r="J130" s="5" t="s">
        <v>232</v>
      </c>
      <c r="K130" s="5" t="s">
        <v>606</v>
      </c>
      <c r="M130" s="5" t="s">
        <v>648</v>
      </c>
      <c r="N130" s="5" t="s">
        <v>638</v>
      </c>
      <c r="O130" s="5" t="s">
        <v>1640</v>
      </c>
      <c r="P130" s="5" t="s">
        <v>1641</v>
      </c>
      <c r="Q130" s="5" t="s">
        <v>1639</v>
      </c>
    </row>
    <row r="131" spans="1:17" ht="45" customHeight="1" x14ac:dyDescent="0.45">
      <c r="A131" s="5" t="s">
        <v>1930</v>
      </c>
      <c r="B131" s="5" t="s">
        <v>1608</v>
      </c>
      <c r="D131" s="8" t="s">
        <v>582</v>
      </c>
      <c r="E131" s="9" t="s">
        <v>1637</v>
      </c>
      <c r="F131" s="5" t="s">
        <v>1638</v>
      </c>
      <c r="G131" s="5" t="s">
        <v>616</v>
      </c>
      <c r="H131" s="5" t="s">
        <v>1633</v>
      </c>
      <c r="I131" s="5" t="s">
        <v>592</v>
      </c>
      <c r="J131" s="5" t="s">
        <v>232</v>
      </c>
      <c r="K131" s="5" t="s">
        <v>606</v>
      </c>
      <c r="M131" s="5" t="s">
        <v>648</v>
      </c>
      <c r="N131" s="5" t="s">
        <v>638</v>
      </c>
      <c r="O131" s="5" t="s">
        <v>1642</v>
      </c>
      <c r="P131" s="5" t="s">
        <v>1643</v>
      </c>
    </row>
    <row r="132" spans="1:17" ht="45" customHeight="1" x14ac:dyDescent="0.45">
      <c r="A132" s="5" t="s">
        <v>1931</v>
      </c>
      <c r="B132" s="5" t="s">
        <v>1608</v>
      </c>
      <c r="D132" s="8" t="s">
        <v>274</v>
      </c>
      <c r="E132" s="9" t="s">
        <v>1572</v>
      </c>
      <c r="F132" s="5" t="s">
        <v>1644</v>
      </c>
      <c r="G132" s="5" t="s">
        <v>616</v>
      </c>
      <c r="H132" s="5" t="s">
        <v>1633</v>
      </c>
      <c r="I132" s="5" t="s">
        <v>592</v>
      </c>
      <c r="J132" s="5" t="s">
        <v>232</v>
      </c>
      <c r="K132" s="5" t="s">
        <v>606</v>
      </c>
      <c r="M132" s="5" t="s">
        <v>648</v>
      </c>
      <c r="N132" s="5" t="s">
        <v>638</v>
      </c>
      <c r="O132" s="5" t="s">
        <v>1645</v>
      </c>
      <c r="P132" s="5" t="s">
        <v>1646</v>
      </c>
    </row>
    <row r="133" spans="1:17" ht="45" customHeight="1" x14ac:dyDescent="0.45">
      <c r="A133" s="5" t="s">
        <v>1932</v>
      </c>
      <c r="B133" s="5" t="s">
        <v>1608</v>
      </c>
      <c r="D133" s="8" t="s">
        <v>583</v>
      </c>
      <c r="E133" s="9" t="s">
        <v>1571</v>
      </c>
      <c r="F133" s="5" t="s">
        <v>1647</v>
      </c>
      <c r="G133" s="5" t="s">
        <v>616</v>
      </c>
      <c r="H133" s="5" t="s">
        <v>1633</v>
      </c>
      <c r="I133" s="5" t="s">
        <v>592</v>
      </c>
      <c r="J133" s="5" t="s">
        <v>232</v>
      </c>
      <c r="K133" s="5" t="s">
        <v>606</v>
      </c>
      <c r="M133" s="5" t="s">
        <v>648</v>
      </c>
      <c r="N133" s="5" t="s">
        <v>638</v>
      </c>
      <c r="O133" s="5" t="s">
        <v>1648</v>
      </c>
      <c r="P133" s="5" t="s">
        <v>1649</v>
      </c>
    </row>
    <row r="134" spans="1:17" ht="45" customHeight="1" x14ac:dyDescent="0.45">
      <c r="A134" s="5" t="s">
        <v>1933</v>
      </c>
      <c r="B134" s="5" t="s">
        <v>1608</v>
      </c>
      <c r="D134" s="8" t="s">
        <v>301</v>
      </c>
      <c r="E134" s="9" t="s">
        <v>1651</v>
      </c>
      <c r="F134" s="5" t="s">
        <v>1650</v>
      </c>
      <c r="G134" s="5" t="s">
        <v>616</v>
      </c>
      <c r="H134" s="5" t="s">
        <v>1633</v>
      </c>
      <c r="I134" s="5" t="s">
        <v>592</v>
      </c>
      <c r="J134" s="5" t="s">
        <v>232</v>
      </c>
      <c r="K134" s="5" t="s">
        <v>606</v>
      </c>
      <c r="M134" s="5" t="s">
        <v>648</v>
      </c>
      <c r="N134" s="5" t="s">
        <v>638</v>
      </c>
      <c r="O134" s="5" t="s">
        <v>1652</v>
      </c>
      <c r="P134" s="5" t="s">
        <v>1653</v>
      </c>
    </row>
    <row r="135" spans="1:17" ht="45" customHeight="1" x14ac:dyDescent="0.45">
      <c r="A135" s="5" t="s">
        <v>1934</v>
      </c>
      <c r="B135" s="5" t="s">
        <v>1608</v>
      </c>
      <c r="D135" s="8" t="s">
        <v>278</v>
      </c>
      <c r="E135" s="9" t="s">
        <v>1651</v>
      </c>
      <c r="F135" s="5" t="s">
        <v>1654</v>
      </c>
      <c r="G135" s="5" t="s">
        <v>616</v>
      </c>
      <c r="H135" s="5" t="s">
        <v>1633</v>
      </c>
      <c r="I135" s="5" t="s">
        <v>181</v>
      </c>
      <c r="M135" s="5" t="s">
        <v>648</v>
      </c>
      <c r="N135" s="5" t="s">
        <v>638</v>
      </c>
      <c r="O135" s="5" t="s">
        <v>1655</v>
      </c>
      <c r="P135" s="5" t="s">
        <v>1656</v>
      </c>
    </row>
    <row r="136" spans="1:17" ht="45" customHeight="1" x14ac:dyDescent="0.45">
      <c r="A136" s="5" t="s">
        <v>1935</v>
      </c>
      <c r="B136" s="5" t="s">
        <v>1608</v>
      </c>
      <c r="D136" s="8" t="s">
        <v>1658</v>
      </c>
      <c r="E136" s="9" t="s">
        <v>1657</v>
      </c>
      <c r="F136" s="5" t="s">
        <v>1659</v>
      </c>
      <c r="G136" s="5" t="s">
        <v>616</v>
      </c>
      <c r="H136" s="5" t="s">
        <v>1633</v>
      </c>
      <c r="I136" s="5" t="s">
        <v>592</v>
      </c>
      <c r="J136" s="5" t="s">
        <v>232</v>
      </c>
      <c r="K136" s="5" t="s">
        <v>606</v>
      </c>
      <c r="M136" s="5" t="s">
        <v>648</v>
      </c>
      <c r="N136" s="5" t="s">
        <v>638</v>
      </c>
      <c r="O136" s="5" t="s">
        <v>1660</v>
      </c>
      <c r="P136" s="5" t="s">
        <v>1661</v>
      </c>
    </row>
    <row r="137" spans="1:17" ht="45" customHeight="1" x14ac:dyDescent="0.45">
      <c r="A137" s="5" t="s">
        <v>1936</v>
      </c>
      <c r="B137" s="5" t="s">
        <v>1608</v>
      </c>
      <c r="D137" s="8" t="s">
        <v>376</v>
      </c>
      <c r="E137" s="9" t="s">
        <v>1657</v>
      </c>
      <c r="F137" s="5" t="s">
        <v>1663</v>
      </c>
      <c r="G137" s="5" t="s">
        <v>1662</v>
      </c>
      <c r="I137" s="5" t="s">
        <v>592</v>
      </c>
      <c r="J137" s="5" t="s">
        <v>232</v>
      </c>
      <c r="M137" s="5" t="s">
        <v>648</v>
      </c>
      <c r="N137" s="5" t="s">
        <v>638</v>
      </c>
      <c r="O137" s="5" t="s">
        <v>1664</v>
      </c>
      <c r="P137" s="5" t="s">
        <v>1665</v>
      </c>
    </row>
    <row r="138" spans="1:17" ht="45" customHeight="1" x14ac:dyDescent="0.45">
      <c r="A138" s="5" t="s">
        <v>1937</v>
      </c>
      <c r="B138" s="5" t="s">
        <v>1608</v>
      </c>
      <c r="D138" s="8" t="s">
        <v>1443</v>
      </c>
      <c r="E138" s="9" t="s">
        <v>1657</v>
      </c>
      <c r="F138" s="5" t="s">
        <v>1659</v>
      </c>
      <c r="G138" s="5" t="s">
        <v>616</v>
      </c>
      <c r="H138" s="5" t="s">
        <v>1633</v>
      </c>
      <c r="I138" s="5" t="s">
        <v>181</v>
      </c>
      <c r="M138" s="5" t="s">
        <v>648</v>
      </c>
      <c r="N138" s="5" t="s">
        <v>638</v>
      </c>
      <c r="O138" s="5" t="s">
        <v>1666</v>
      </c>
      <c r="P138" s="5" t="s">
        <v>1667</v>
      </c>
    </row>
    <row r="139" spans="1:17" ht="45" customHeight="1" x14ac:dyDescent="0.45">
      <c r="A139" s="5" t="s">
        <v>1938</v>
      </c>
      <c r="B139" s="5" t="s">
        <v>1608</v>
      </c>
      <c r="D139" s="8" t="s">
        <v>380</v>
      </c>
      <c r="E139" s="9" t="s">
        <v>1668</v>
      </c>
      <c r="F139" s="5" t="s">
        <v>1638</v>
      </c>
      <c r="G139" s="5" t="s">
        <v>616</v>
      </c>
      <c r="H139" s="5" t="s">
        <v>1633</v>
      </c>
      <c r="I139" s="5" t="s">
        <v>651</v>
      </c>
      <c r="M139" s="5" t="s">
        <v>648</v>
      </c>
      <c r="N139" s="5" t="s">
        <v>638</v>
      </c>
      <c r="O139" s="5" t="s">
        <v>1669</v>
      </c>
      <c r="P139" s="5" t="s">
        <v>1670</v>
      </c>
    </row>
    <row r="140" spans="1:17" ht="45" customHeight="1" x14ac:dyDescent="0.45">
      <c r="A140" s="5" t="s">
        <v>1939</v>
      </c>
      <c r="B140" s="5" t="s">
        <v>1608</v>
      </c>
      <c r="D140" s="8" t="s">
        <v>1580</v>
      </c>
      <c r="E140" s="9" t="s">
        <v>1668</v>
      </c>
      <c r="F140" s="5" t="s">
        <v>1638</v>
      </c>
      <c r="G140" s="5" t="s">
        <v>1604</v>
      </c>
      <c r="H140" s="5" t="s">
        <v>1605</v>
      </c>
      <c r="I140" s="5" t="s">
        <v>651</v>
      </c>
      <c r="J140" s="5" t="s">
        <v>672</v>
      </c>
      <c r="K140" s="5" t="s">
        <v>602</v>
      </c>
      <c r="M140" s="5" t="s">
        <v>648</v>
      </c>
      <c r="N140" s="5" t="s">
        <v>638</v>
      </c>
      <c r="O140" s="5" t="s">
        <v>1671</v>
      </c>
      <c r="P140" s="5" t="s">
        <v>1672</v>
      </c>
    </row>
    <row r="141" spans="1:17" ht="45" customHeight="1" x14ac:dyDescent="0.45">
      <c r="A141" s="5" t="s">
        <v>1940</v>
      </c>
      <c r="B141" s="5" t="s">
        <v>1608</v>
      </c>
      <c r="D141" s="8" t="s">
        <v>668</v>
      </c>
      <c r="E141" s="9" t="s">
        <v>1668</v>
      </c>
      <c r="F141" s="5" t="s">
        <v>1638</v>
      </c>
      <c r="G141" s="5" t="s">
        <v>616</v>
      </c>
      <c r="H141" s="5" t="s">
        <v>1633</v>
      </c>
      <c r="I141" s="5" t="s">
        <v>592</v>
      </c>
      <c r="J141" s="5" t="s">
        <v>232</v>
      </c>
      <c r="K141" s="5" t="s">
        <v>606</v>
      </c>
      <c r="M141" s="5" t="s">
        <v>648</v>
      </c>
      <c r="N141" s="5" t="s">
        <v>638</v>
      </c>
      <c r="O141" s="5" t="s">
        <v>1674</v>
      </c>
      <c r="P141" s="5" t="s">
        <v>1675</v>
      </c>
      <c r="Q141" s="5" t="s">
        <v>1673</v>
      </c>
    </row>
    <row r="142" spans="1:17" ht="45" customHeight="1" x14ac:dyDescent="0.45">
      <c r="A142" s="5" t="s">
        <v>1941</v>
      </c>
      <c r="B142" s="5" t="s">
        <v>1608</v>
      </c>
      <c r="D142" s="8" t="s">
        <v>1676</v>
      </c>
      <c r="E142" s="9" t="s">
        <v>1668</v>
      </c>
      <c r="F142" s="5" t="s">
        <v>1638</v>
      </c>
      <c r="G142" s="5" t="s">
        <v>1586</v>
      </c>
      <c r="H142" s="5" t="s">
        <v>211</v>
      </c>
      <c r="I142" s="5" t="s">
        <v>592</v>
      </c>
      <c r="J142" s="5" t="s">
        <v>232</v>
      </c>
      <c r="K142" s="5" t="s">
        <v>606</v>
      </c>
      <c r="M142" s="5" t="s">
        <v>648</v>
      </c>
      <c r="N142" s="5" t="s">
        <v>638</v>
      </c>
      <c r="O142" s="5" t="s">
        <v>1677</v>
      </c>
      <c r="P142" s="5" t="s">
        <v>1678</v>
      </c>
      <c r="Q142" s="5" t="s">
        <v>1679</v>
      </c>
    </row>
    <row r="143" spans="1:17" ht="45" customHeight="1" x14ac:dyDescent="0.45">
      <c r="A143" s="5" t="s">
        <v>1942</v>
      </c>
      <c r="B143" s="5" t="s">
        <v>1608</v>
      </c>
      <c r="D143" s="8" t="s">
        <v>393</v>
      </c>
      <c r="E143" s="9" t="s">
        <v>1680</v>
      </c>
      <c r="F143" s="5" t="s">
        <v>1620</v>
      </c>
      <c r="G143" s="5" t="s">
        <v>616</v>
      </c>
      <c r="H143" s="5" t="s">
        <v>1633</v>
      </c>
      <c r="I143" s="5" t="s">
        <v>592</v>
      </c>
      <c r="J143" s="5" t="s">
        <v>232</v>
      </c>
      <c r="K143" s="5" t="s">
        <v>606</v>
      </c>
      <c r="M143" s="5" t="s">
        <v>648</v>
      </c>
      <c r="N143" s="5" t="s">
        <v>638</v>
      </c>
      <c r="O143" s="5" t="s">
        <v>1681</v>
      </c>
      <c r="P143" s="5" t="s">
        <v>1682</v>
      </c>
    </row>
    <row r="144" spans="1:17" ht="45" customHeight="1" x14ac:dyDescent="0.45">
      <c r="A144" s="5" t="s">
        <v>1943</v>
      </c>
      <c r="B144" s="5" t="s">
        <v>1608</v>
      </c>
      <c r="D144" s="8" t="s">
        <v>593</v>
      </c>
      <c r="E144" s="9" t="s">
        <v>1680</v>
      </c>
      <c r="F144" s="5" t="s">
        <v>51</v>
      </c>
      <c r="G144" s="5" t="s">
        <v>1683</v>
      </c>
      <c r="H144" s="5" t="s">
        <v>289</v>
      </c>
      <c r="I144" s="5" t="s">
        <v>181</v>
      </c>
      <c r="K144" s="5" t="s">
        <v>603</v>
      </c>
      <c r="M144" s="5" t="s">
        <v>241</v>
      </c>
      <c r="N144" s="5" t="s">
        <v>639</v>
      </c>
      <c r="O144" s="5" t="s">
        <v>1684</v>
      </c>
      <c r="P144" s="5" t="s">
        <v>1685</v>
      </c>
    </row>
    <row r="145" spans="1:17" ht="45" customHeight="1" x14ac:dyDescent="0.45">
      <c r="A145" s="5" t="s">
        <v>1944</v>
      </c>
      <c r="B145" s="5" t="s">
        <v>1608</v>
      </c>
      <c r="D145" s="8" t="s">
        <v>1687</v>
      </c>
      <c r="E145" s="9" t="s">
        <v>1680</v>
      </c>
      <c r="F145" s="5" t="s">
        <v>181</v>
      </c>
      <c r="G145" s="5" t="s">
        <v>181</v>
      </c>
      <c r="I145" s="5" t="s">
        <v>181</v>
      </c>
      <c r="K145" s="5" t="s">
        <v>602</v>
      </c>
      <c r="M145" s="5" t="s">
        <v>648</v>
      </c>
      <c r="N145" s="5" t="s">
        <v>638</v>
      </c>
      <c r="Q145" s="5" t="s">
        <v>1686</v>
      </c>
    </row>
    <row r="146" spans="1:17" ht="45" customHeight="1" x14ac:dyDescent="0.45">
      <c r="A146" s="5" t="s">
        <v>1945</v>
      </c>
      <c r="B146" s="5" t="s">
        <v>1608</v>
      </c>
      <c r="D146" s="8" t="s">
        <v>337</v>
      </c>
      <c r="E146" s="9" t="s">
        <v>1609</v>
      </c>
      <c r="F146" s="5" t="s">
        <v>181</v>
      </c>
      <c r="G146" s="5" t="s">
        <v>1582</v>
      </c>
      <c r="H146" s="5" t="s">
        <v>599</v>
      </c>
      <c r="I146" s="5" t="s">
        <v>1586</v>
      </c>
      <c r="J146" s="5" t="s">
        <v>211</v>
      </c>
      <c r="M146" s="5" t="s">
        <v>648</v>
      </c>
      <c r="N146" s="5" t="s">
        <v>638</v>
      </c>
      <c r="O146" s="5" t="s">
        <v>1610</v>
      </c>
      <c r="P146" s="5" t="s">
        <v>1611</v>
      </c>
      <c r="Q146" s="5" t="s">
        <v>1613</v>
      </c>
    </row>
    <row r="147" spans="1:17" ht="45" customHeight="1" x14ac:dyDescent="0.45">
      <c r="A147" s="5" t="s">
        <v>1946</v>
      </c>
      <c r="B147" s="5" t="s">
        <v>1608</v>
      </c>
      <c r="D147" s="8" t="s">
        <v>404</v>
      </c>
      <c r="E147" s="9" t="s">
        <v>1689</v>
      </c>
      <c r="F147" s="5" t="s">
        <v>51</v>
      </c>
      <c r="G147" s="5" t="s">
        <v>870</v>
      </c>
      <c r="I147" s="5" t="s">
        <v>181</v>
      </c>
      <c r="K147" s="5" t="s">
        <v>603</v>
      </c>
      <c r="M147" s="5" t="s">
        <v>648</v>
      </c>
      <c r="N147" s="5" t="s">
        <v>638</v>
      </c>
      <c r="O147" s="5" t="s">
        <v>1690</v>
      </c>
      <c r="P147" s="5" t="s">
        <v>1691</v>
      </c>
      <c r="Q147" s="5" t="s">
        <v>1688</v>
      </c>
    </row>
    <row r="148" spans="1:17" ht="45" customHeight="1" x14ac:dyDescent="0.45">
      <c r="A148" s="5" t="s">
        <v>1947</v>
      </c>
      <c r="B148" s="5" t="s">
        <v>1608</v>
      </c>
      <c r="D148" s="8" t="s">
        <v>1607</v>
      </c>
      <c r="E148" s="9" t="s">
        <v>597</v>
      </c>
      <c r="F148" s="5" t="s">
        <v>181</v>
      </c>
      <c r="G148" s="5" t="s">
        <v>1694</v>
      </c>
      <c r="I148" s="5" t="s">
        <v>181</v>
      </c>
      <c r="K148" s="5" t="s">
        <v>606</v>
      </c>
      <c r="M148" s="5" t="s">
        <v>648</v>
      </c>
      <c r="N148" s="5" t="s">
        <v>638</v>
      </c>
      <c r="O148" s="5" t="s">
        <v>1692</v>
      </c>
      <c r="P148" s="5" t="s">
        <v>1693</v>
      </c>
    </row>
    <row r="149" spans="1:17" ht="45" customHeight="1" x14ac:dyDescent="0.45">
      <c r="A149" s="5" t="s">
        <v>1948</v>
      </c>
      <c r="B149" s="5" t="s">
        <v>1608</v>
      </c>
      <c r="D149" s="8" t="s">
        <v>577</v>
      </c>
      <c r="E149" s="9" t="s">
        <v>1616</v>
      </c>
      <c r="F149" s="5" t="s">
        <v>990</v>
      </c>
      <c r="G149" s="5" t="s">
        <v>870</v>
      </c>
      <c r="H149" s="5" t="s">
        <v>1617</v>
      </c>
      <c r="I149" s="5" t="s">
        <v>1586</v>
      </c>
      <c r="J149" s="5" t="s">
        <v>211</v>
      </c>
      <c r="K149" s="5" t="s">
        <v>602</v>
      </c>
      <c r="M149" s="5" t="s">
        <v>648</v>
      </c>
      <c r="N149" s="5" t="s">
        <v>638</v>
      </c>
      <c r="O149" s="5" t="s">
        <v>1614</v>
      </c>
      <c r="P149" s="5" t="s">
        <v>1615</v>
      </c>
      <c r="Q149" s="5" t="s">
        <v>1612</v>
      </c>
    </row>
    <row r="150" spans="1:17" ht="45" customHeight="1" x14ac:dyDescent="0.45">
      <c r="A150" s="5" t="s">
        <v>1949</v>
      </c>
      <c r="B150" s="5" t="s">
        <v>1695</v>
      </c>
      <c r="D150" s="8" t="s">
        <v>578</v>
      </c>
      <c r="E150" s="9" t="s">
        <v>1706</v>
      </c>
      <c r="F150" s="5" t="s">
        <v>50</v>
      </c>
      <c r="G150" s="5" t="s">
        <v>1704</v>
      </c>
      <c r="H150" s="5" t="s">
        <v>1703</v>
      </c>
      <c r="I150" s="5" t="s">
        <v>231</v>
      </c>
      <c r="J150" s="5" t="s">
        <v>232</v>
      </c>
    </row>
    <row r="151" spans="1:17" ht="45" customHeight="1" x14ac:dyDescent="0.45">
      <c r="A151" s="5" t="s">
        <v>1950</v>
      </c>
      <c r="B151" s="5" t="s">
        <v>1695</v>
      </c>
      <c r="D151" s="8" t="s">
        <v>198</v>
      </c>
      <c r="E151" s="9" t="s">
        <v>1587</v>
      </c>
      <c r="F151" s="5" t="s">
        <v>50</v>
      </c>
      <c r="G151" s="5" t="s">
        <v>1705</v>
      </c>
      <c r="H151" s="5" t="s">
        <v>691</v>
      </c>
      <c r="I151" s="5" t="s">
        <v>1586</v>
      </c>
      <c r="J151" s="5" t="s">
        <v>211</v>
      </c>
    </row>
    <row r="152" spans="1:17" ht="45" customHeight="1" x14ac:dyDescent="0.45">
      <c r="A152" s="5" t="s">
        <v>1951</v>
      </c>
      <c r="B152" s="5" t="s">
        <v>1695</v>
      </c>
      <c r="D152" s="8" t="s">
        <v>200</v>
      </c>
      <c r="E152" s="9" t="s">
        <v>1587</v>
      </c>
      <c r="F152" s="5" t="s">
        <v>50</v>
      </c>
      <c r="G152" s="5" t="s">
        <v>1705</v>
      </c>
      <c r="H152" s="5" t="s">
        <v>691</v>
      </c>
      <c r="I152" s="5" t="s">
        <v>662</v>
      </c>
      <c r="J152" s="5" t="s">
        <v>401</v>
      </c>
      <c r="K152" s="5" t="s">
        <v>600</v>
      </c>
    </row>
    <row r="153" spans="1:17" ht="45" customHeight="1" x14ac:dyDescent="0.45">
      <c r="A153" s="5" t="s">
        <v>1952</v>
      </c>
      <c r="B153" s="5" t="s">
        <v>1695</v>
      </c>
      <c r="D153" s="8" t="s">
        <v>261</v>
      </c>
      <c r="E153" s="9" t="s">
        <v>1587</v>
      </c>
      <c r="F153" s="5" t="s">
        <v>50</v>
      </c>
      <c r="G153" s="5" t="s">
        <v>1704</v>
      </c>
      <c r="H153" s="5" t="s">
        <v>1703</v>
      </c>
      <c r="I153" s="5" t="s">
        <v>1586</v>
      </c>
      <c r="J153" s="5" t="s">
        <v>211</v>
      </c>
    </row>
    <row r="154" spans="1:17" ht="45" customHeight="1" x14ac:dyDescent="0.45">
      <c r="A154" s="5" t="s">
        <v>1953</v>
      </c>
      <c r="B154" s="5" t="s">
        <v>1695</v>
      </c>
      <c r="D154" s="8" t="s">
        <v>352</v>
      </c>
      <c r="E154" s="9" t="s">
        <v>1587</v>
      </c>
      <c r="F154" s="5" t="s">
        <v>50</v>
      </c>
      <c r="G154" s="5" t="s">
        <v>1707</v>
      </c>
      <c r="H154" s="5" t="s">
        <v>181</v>
      </c>
      <c r="I154" s="5" t="s">
        <v>662</v>
      </c>
      <c r="J154" s="5" t="s">
        <v>401</v>
      </c>
    </row>
    <row r="155" spans="1:17" ht="45" customHeight="1" x14ac:dyDescent="0.45">
      <c r="A155" s="5" t="s">
        <v>1954</v>
      </c>
      <c r="B155" s="5" t="s">
        <v>1695</v>
      </c>
      <c r="D155" s="8" t="s">
        <v>263</v>
      </c>
      <c r="E155" s="9" t="s">
        <v>1708</v>
      </c>
      <c r="F155" s="5" t="s">
        <v>50</v>
      </c>
      <c r="G155" s="5" t="s">
        <v>1697</v>
      </c>
      <c r="H155" s="5" t="s">
        <v>218</v>
      </c>
      <c r="I155" s="5" t="s">
        <v>662</v>
      </c>
      <c r="J155" s="5" t="s">
        <v>401</v>
      </c>
    </row>
    <row r="156" spans="1:17" ht="45" customHeight="1" x14ac:dyDescent="0.45">
      <c r="A156" s="5" t="s">
        <v>1955</v>
      </c>
      <c r="B156" s="5" t="s">
        <v>1695</v>
      </c>
      <c r="D156" s="8" t="s">
        <v>355</v>
      </c>
      <c r="E156" s="9" t="s">
        <v>1587</v>
      </c>
      <c r="F156" s="5" t="s">
        <v>50</v>
      </c>
      <c r="G156" s="5" t="s">
        <v>1704</v>
      </c>
      <c r="H156" s="5" t="s">
        <v>1703</v>
      </c>
      <c r="I156" s="5" t="s">
        <v>662</v>
      </c>
      <c r="J156" s="5" t="s">
        <v>401</v>
      </c>
    </row>
    <row r="157" spans="1:17" ht="45" customHeight="1" x14ac:dyDescent="0.45">
      <c r="A157" s="5" t="s">
        <v>1956</v>
      </c>
      <c r="B157" s="5" t="s">
        <v>1695</v>
      </c>
      <c r="D157" s="8" t="s">
        <v>265</v>
      </c>
      <c r="E157" s="9" t="s">
        <v>1709</v>
      </c>
      <c r="F157" s="5" t="s">
        <v>50</v>
      </c>
      <c r="G157" s="5" t="s">
        <v>1697</v>
      </c>
      <c r="H157" s="5" t="s">
        <v>218</v>
      </c>
      <c r="I157" s="5" t="s">
        <v>1586</v>
      </c>
      <c r="J157" s="5" t="s">
        <v>211</v>
      </c>
    </row>
    <row r="158" spans="1:17" ht="45" customHeight="1" x14ac:dyDescent="0.45">
      <c r="A158" s="5" t="s">
        <v>1957</v>
      </c>
      <c r="B158" s="5" t="s">
        <v>1695</v>
      </c>
      <c r="D158" s="8" t="s">
        <v>360</v>
      </c>
      <c r="E158" s="9" t="s">
        <v>1592</v>
      </c>
      <c r="F158" s="5" t="s">
        <v>50</v>
      </c>
      <c r="G158" s="5" t="s">
        <v>1697</v>
      </c>
      <c r="H158" s="5" t="s">
        <v>218</v>
      </c>
      <c r="I158" s="5" t="s">
        <v>662</v>
      </c>
      <c r="J158" s="5" t="s">
        <v>401</v>
      </c>
    </row>
    <row r="159" spans="1:17" ht="45" customHeight="1" x14ac:dyDescent="0.45">
      <c r="A159" s="5" t="s">
        <v>1958</v>
      </c>
      <c r="B159" s="5" t="s">
        <v>1695</v>
      </c>
      <c r="D159" s="8" t="s">
        <v>268</v>
      </c>
      <c r="E159" s="9" t="s">
        <v>1708</v>
      </c>
      <c r="F159" s="5" t="s">
        <v>50</v>
      </c>
      <c r="G159" s="5" t="s">
        <v>1697</v>
      </c>
      <c r="H159" s="5" t="s">
        <v>218</v>
      </c>
      <c r="I159" s="5" t="s">
        <v>1586</v>
      </c>
      <c r="J159" s="5" t="s">
        <v>211</v>
      </c>
    </row>
    <row r="160" spans="1:17" ht="45" customHeight="1" x14ac:dyDescent="0.45">
      <c r="A160" s="5" t="s">
        <v>1959</v>
      </c>
      <c r="B160" s="5" t="s">
        <v>1695</v>
      </c>
      <c r="D160" s="8" t="s">
        <v>295</v>
      </c>
      <c r="E160" s="9" t="s">
        <v>1708</v>
      </c>
      <c r="F160" s="5" t="s">
        <v>50</v>
      </c>
      <c r="G160" s="5" t="s">
        <v>1705</v>
      </c>
      <c r="H160" s="5" t="s">
        <v>691</v>
      </c>
      <c r="I160" s="5" t="s">
        <v>1586</v>
      </c>
      <c r="J160" s="5" t="s">
        <v>211</v>
      </c>
    </row>
    <row r="161" spans="1:17" ht="45" customHeight="1" x14ac:dyDescent="0.45">
      <c r="A161" s="5" t="s">
        <v>1960</v>
      </c>
      <c r="B161" s="5" t="s">
        <v>1695</v>
      </c>
      <c r="D161" s="8" t="s">
        <v>270</v>
      </c>
      <c r="E161" s="9" t="s">
        <v>1708</v>
      </c>
      <c r="F161" s="5" t="s">
        <v>50</v>
      </c>
      <c r="G161" s="5" t="s">
        <v>1705</v>
      </c>
      <c r="H161" s="5" t="s">
        <v>691</v>
      </c>
      <c r="I161" s="5" t="s">
        <v>662</v>
      </c>
      <c r="J161" s="5" t="s">
        <v>401</v>
      </c>
    </row>
    <row r="162" spans="1:17" ht="45" customHeight="1" x14ac:dyDescent="0.45">
      <c r="A162" s="5" t="s">
        <v>1961</v>
      </c>
      <c r="B162" s="5" t="s">
        <v>1695</v>
      </c>
      <c r="D162" s="8" t="s">
        <v>274</v>
      </c>
      <c r="E162" s="9" t="s">
        <v>1710</v>
      </c>
      <c r="F162" s="5" t="s">
        <v>50</v>
      </c>
      <c r="G162" s="5" t="s">
        <v>1704</v>
      </c>
      <c r="H162" s="5" t="s">
        <v>1703</v>
      </c>
      <c r="I162" s="5" t="s">
        <v>662</v>
      </c>
      <c r="J162" s="5" t="s">
        <v>401</v>
      </c>
    </row>
    <row r="163" spans="1:17" ht="45" customHeight="1" x14ac:dyDescent="0.45">
      <c r="A163" s="5" t="s">
        <v>1962</v>
      </c>
      <c r="B163" s="5" t="s">
        <v>1695</v>
      </c>
      <c r="D163" s="8" t="s">
        <v>583</v>
      </c>
      <c r="E163" s="9" t="s">
        <v>1710</v>
      </c>
      <c r="F163" s="5" t="s">
        <v>50</v>
      </c>
      <c r="G163" s="5" t="s">
        <v>1704</v>
      </c>
      <c r="H163" s="5" t="s">
        <v>1703</v>
      </c>
      <c r="I163" s="5" t="s">
        <v>1586</v>
      </c>
      <c r="J163" s="5" t="s">
        <v>211</v>
      </c>
    </row>
    <row r="164" spans="1:17" ht="45" customHeight="1" x14ac:dyDescent="0.45">
      <c r="A164" s="5" t="s">
        <v>1963</v>
      </c>
      <c r="B164" s="5" t="s">
        <v>1695</v>
      </c>
      <c r="D164" s="8" t="s">
        <v>276</v>
      </c>
      <c r="E164" s="9" t="s">
        <v>1588</v>
      </c>
      <c r="F164" s="5" t="s">
        <v>50</v>
      </c>
      <c r="G164" s="5" t="s">
        <v>1711</v>
      </c>
      <c r="H164" s="5" t="s">
        <v>181</v>
      </c>
      <c r="I164" s="5" t="s">
        <v>181</v>
      </c>
      <c r="Q164" s="5" t="s">
        <v>1712</v>
      </c>
    </row>
    <row r="165" spans="1:17" ht="45" customHeight="1" x14ac:dyDescent="0.45">
      <c r="A165" s="5" t="s">
        <v>1964</v>
      </c>
      <c r="B165" s="5" t="s">
        <v>1695</v>
      </c>
      <c r="D165" s="8" t="s">
        <v>584</v>
      </c>
      <c r="E165" s="9" t="s">
        <v>1714</v>
      </c>
      <c r="F165" s="5" t="s">
        <v>50</v>
      </c>
      <c r="G165" s="5" t="s">
        <v>1713</v>
      </c>
      <c r="H165" s="5" t="s">
        <v>181</v>
      </c>
      <c r="I165" s="5" t="s">
        <v>181</v>
      </c>
      <c r="Q165" s="5" t="s">
        <v>1712</v>
      </c>
    </row>
    <row r="166" spans="1:17" ht="45" customHeight="1" x14ac:dyDescent="0.45">
      <c r="A166" s="5" t="s">
        <v>1965</v>
      </c>
      <c r="B166" s="5" t="s">
        <v>1695</v>
      </c>
      <c r="D166" s="8" t="s">
        <v>278</v>
      </c>
      <c r="E166" s="9" t="s">
        <v>1715</v>
      </c>
      <c r="F166" s="5" t="s">
        <v>50</v>
      </c>
      <c r="G166" s="5" t="s">
        <v>1704</v>
      </c>
      <c r="H166" s="5" t="s">
        <v>1703</v>
      </c>
      <c r="I166" s="5" t="s">
        <v>231</v>
      </c>
      <c r="J166" s="5" t="s">
        <v>232</v>
      </c>
    </row>
    <row r="167" spans="1:17" ht="45" customHeight="1" x14ac:dyDescent="0.45">
      <c r="A167" s="5" t="s">
        <v>1966</v>
      </c>
      <c r="B167" s="5" t="s">
        <v>1695</v>
      </c>
      <c r="D167" s="8" t="s">
        <v>585</v>
      </c>
      <c r="E167" s="9" t="s">
        <v>1716</v>
      </c>
      <c r="F167" s="5" t="s">
        <v>50</v>
      </c>
      <c r="G167" s="5" t="s">
        <v>1705</v>
      </c>
      <c r="H167" s="5" t="s">
        <v>691</v>
      </c>
      <c r="I167" s="5" t="s">
        <v>231</v>
      </c>
      <c r="J167" s="5" t="s">
        <v>232</v>
      </c>
    </row>
    <row r="168" spans="1:17" ht="45" customHeight="1" x14ac:dyDescent="0.45">
      <c r="A168" s="5" t="s">
        <v>1967</v>
      </c>
      <c r="B168" s="5" t="s">
        <v>1695</v>
      </c>
      <c r="D168" s="8" t="s">
        <v>279</v>
      </c>
      <c r="E168" s="9" t="s">
        <v>1715</v>
      </c>
      <c r="F168" s="5" t="s">
        <v>50</v>
      </c>
      <c r="G168" s="5" t="s">
        <v>1704</v>
      </c>
      <c r="H168" s="5" t="s">
        <v>1703</v>
      </c>
      <c r="I168" s="5" t="s">
        <v>1596</v>
      </c>
      <c r="J168" s="5" t="s">
        <v>1469</v>
      </c>
    </row>
    <row r="169" spans="1:17" ht="45" customHeight="1" x14ac:dyDescent="0.45">
      <c r="A169" s="5" t="s">
        <v>1968</v>
      </c>
      <c r="B169" s="5" t="s">
        <v>1695</v>
      </c>
      <c r="D169" s="8" t="s">
        <v>586</v>
      </c>
      <c r="E169" s="9" t="s">
        <v>1716</v>
      </c>
      <c r="F169" s="5" t="s">
        <v>50</v>
      </c>
      <c r="G169" s="5" t="s">
        <v>1705</v>
      </c>
      <c r="H169" s="5" t="s">
        <v>691</v>
      </c>
      <c r="I169" s="5" t="s">
        <v>1596</v>
      </c>
      <c r="J169" s="5" t="s">
        <v>1469</v>
      </c>
    </row>
    <row r="170" spans="1:17" ht="45" customHeight="1" x14ac:dyDescent="0.45">
      <c r="A170" s="5" t="s">
        <v>1969</v>
      </c>
      <c r="B170" s="5" t="s">
        <v>1695</v>
      </c>
      <c r="D170" s="8" t="s">
        <v>281</v>
      </c>
      <c r="E170" s="9" t="s">
        <v>1718</v>
      </c>
      <c r="F170" s="5" t="s">
        <v>178</v>
      </c>
      <c r="G170" s="5" t="s">
        <v>1719</v>
      </c>
      <c r="H170" s="5" t="s">
        <v>608</v>
      </c>
      <c r="I170" s="5" t="s">
        <v>662</v>
      </c>
      <c r="J170" s="5" t="s">
        <v>401</v>
      </c>
      <c r="Q170" s="5" t="s">
        <v>1717</v>
      </c>
    </row>
    <row r="171" spans="1:17" ht="45" customHeight="1" x14ac:dyDescent="0.45">
      <c r="A171" s="5" t="s">
        <v>1970</v>
      </c>
      <c r="B171" s="5" t="s">
        <v>1695</v>
      </c>
      <c r="D171" s="8" t="s">
        <v>575</v>
      </c>
      <c r="E171" s="9" t="s">
        <v>1696</v>
      </c>
      <c r="F171" s="5" t="s">
        <v>50</v>
      </c>
      <c r="G171" s="5" t="s">
        <v>1697</v>
      </c>
      <c r="H171" s="5" t="s">
        <v>218</v>
      </c>
      <c r="I171" s="5" t="s">
        <v>1586</v>
      </c>
      <c r="J171" s="5" t="s">
        <v>211</v>
      </c>
    </row>
    <row r="172" spans="1:17" ht="45" customHeight="1" x14ac:dyDescent="0.45">
      <c r="A172" s="5" t="s">
        <v>1971</v>
      </c>
      <c r="B172" s="5" t="s">
        <v>1695</v>
      </c>
      <c r="D172" s="8" t="s">
        <v>303</v>
      </c>
      <c r="E172" s="9" t="s">
        <v>1720</v>
      </c>
      <c r="F172" s="5" t="s">
        <v>50</v>
      </c>
      <c r="G172" s="5" t="s">
        <v>1705</v>
      </c>
      <c r="H172" s="5" t="s">
        <v>691</v>
      </c>
      <c r="I172" s="5" t="s">
        <v>231</v>
      </c>
      <c r="J172" s="5" t="s">
        <v>232</v>
      </c>
    </row>
    <row r="173" spans="1:17" ht="45" customHeight="1" x14ac:dyDescent="0.45">
      <c r="A173" s="5" t="s">
        <v>1972</v>
      </c>
      <c r="B173" s="5" t="s">
        <v>1695</v>
      </c>
      <c r="D173" s="8" t="s">
        <v>376</v>
      </c>
      <c r="E173" s="9" t="s">
        <v>743</v>
      </c>
      <c r="F173" s="5" t="s">
        <v>50</v>
      </c>
      <c r="G173" s="5" t="s">
        <v>1704</v>
      </c>
      <c r="H173" s="5" t="s">
        <v>1703</v>
      </c>
      <c r="I173" s="5" t="s">
        <v>231</v>
      </c>
      <c r="J173" s="5" t="s">
        <v>232</v>
      </c>
      <c r="Q173" s="5" t="s">
        <v>1721</v>
      </c>
    </row>
    <row r="174" spans="1:17" ht="45" customHeight="1" x14ac:dyDescent="0.45">
      <c r="A174" s="5" t="s">
        <v>1973</v>
      </c>
      <c r="B174" s="5" t="s">
        <v>1695</v>
      </c>
      <c r="D174" s="8" t="s">
        <v>1443</v>
      </c>
      <c r="E174" s="9" t="s">
        <v>1722</v>
      </c>
      <c r="F174" s="5" t="s">
        <v>50</v>
      </c>
      <c r="G174" s="5" t="s">
        <v>1723</v>
      </c>
      <c r="H174" s="5" t="s">
        <v>181</v>
      </c>
      <c r="I174" s="5" t="s">
        <v>181</v>
      </c>
      <c r="Q174" s="5" t="s">
        <v>1712</v>
      </c>
    </row>
    <row r="175" spans="1:17" ht="45" customHeight="1" x14ac:dyDescent="0.45">
      <c r="A175" s="5" t="s">
        <v>1974</v>
      </c>
      <c r="B175" s="5" t="s">
        <v>1695</v>
      </c>
      <c r="D175" s="8" t="s">
        <v>668</v>
      </c>
      <c r="E175" s="9" t="s">
        <v>1601</v>
      </c>
      <c r="F175" s="5" t="s">
        <v>50</v>
      </c>
      <c r="G175" s="5" t="s">
        <v>1724</v>
      </c>
      <c r="H175" s="5" t="s">
        <v>608</v>
      </c>
      <c r="I175" s="5" t="s">
        <v>1586</v>
      </c>
      <c r="J175" s="5" t="s">
        <v>211</v>
      </c>
    </row>
    <row r="176" spans="1:17" ht="45" customHeight="1" x14ac:dyDescent="0.45">
      <c r="A176" s="5" t="s">
        <v>1975</v>
      </c>
      <c r="B176" s="5" t="s">
        <v>1695</v>
      </c>
      <c r="D176" s="8" t="s">
        <v>588</v>
      </c>
      <c r="E176" s="9" t="s">
        <v>1593</v>
      </c>
      <c r="F176" s="5" t="s">
        <v>50</v>
      </c>
      <c r="G176" s="5" t="s">
        <v>1725</v>
      </c>
      <c r="H176" s="5" t="s">
        <v>608</v>
      </c>
      <c r="I176" s="5" t="s">
        <v>1586</v>
      </c>
      <c r="J176" s="5" t="s">
        <v>211</v>
      </c>
      <c r="Q176" s="5" t="s">
        <v>1712</v>
      </c>
    </row>
    <row r="177" spans="1:17" ht="45" customHeight="1" x14ac:dyDescent="0.45">
      <c r="A177" s="5" t="s">
        <v>1976</v>
      </c>
      <c r="B177" s="5" t="s">
        <v>1695</v>
      </c>
      <c r="D177" s="8" t="s">
        <v>670</v>
      </c>
      <c r="E177" s="9" t="s">
        <v>1593</v>
      </c>
      <c r="F177" s="5" t="s">
        <v>50</v>
      </c>
      <c r="G177" s="5" t="s">
        <v>1726</v>
      </c>
      <c r="H177" s="5" t="s">
        <v>608</v>
      </c>
      <c r="I177" s="5" t="s">
        <v>1586</v>
      </c>
      <c r="J177" s="5" t="s">
        <v>211</v>
      </c>
    </row>
    <row r="178" spans="1:17" ht="45" customHeight="1" x14ac:dyDescent="0.45">
      <c r="A178" s="5" t="s">
        <v>1977</v>
      </c>
      <c r="B178" s="5" t="s">
        <v>1695</v>
      </c>
      <c r="D178" s="8" t="s">
        <v>591</v>
      </c>
      <c r="E178" s="9" t="s">
        <v>1593</v>
      </c>
      <c r="F178" s="5" t="s">
        <v>50</v>
      </c>
      <c r="G178" s="5" t="s">
        <v>1713</v>
      </c>
      <c r="H178" s="5" t="s">
        <v>181</v>
      </c>
      <c r="I178" s="5" t="s">
        <v>181</v>
      </c>
      <c r="Q178" s="5" t="s">
        <v>1712</v>
      </c>
    </row>
    <row r="179" spans="1:17" ht="45" customHeight="1" x14ac:dyDescent="0.45">
      <c r="A179" s="5" t="s">
        <v>1978</v>
      </c>
      <c r="B179" s="5" t="s">
        <v>1695</v>
      </c>
      <c r="D179" s="8" t="s">
        <v>333</v>
      </c>
      <c r="E179" s="9" t="s">
        <v>1696</v>
      </c>
      <c r="F179" s="5" t="s">
        <v>50</v>
      </c>
      <c r="G179" s="5" t="s">
        <v>1697</v>
      </c>
      <c r="H179" s="5" t="s">
        <v>218</v>
      </c>
      <c r="I179" s="5" t="s">
        <v>662</v>
      </c>
      <c r="J179" s="5" t="s">
        <v>401</v>
      </c>
      <c r="Q179" s="5" t="s">
        <v>1700</v>
      </c>
    </row>
    <row r="180" spans="1:17" ht="45" customHeight="1" x14ac:dyDescent="0.45">
      <c r="A180" s="5" t="s">
        <v>1979</v>
      </c>
      <c r="B180" s="5" t="s">
        <v>1695</v>
      </c>
      <c r="D180" s="8" t="s">
        <v>1444</v>
      </c>
      <c r="E180" s="9" t="s">
        <v>1727</v>
      </c>
      <c r="F180" s="5" t="s">
        <v>50</v>
      </c>
      <c r="G180" s="5" t="s">
        <v>1705</v>
      </c>
      <c r="H180" s="5" t="s">
        <v>691</v>
      </c>
      <c r="I180" s="5" t="s">
        <v>1586</v>
      </c>
      <c r="J180" s="5" t="s">
        <v>211</v>
      </c>
    </row>
    <row r="181" spans="1:17" ht="45" customHeight="1" x14ac:dyDescent="0.45">
      <c r="A181" s="5" t="s">
        <v>1980</v>
      </c>
      <c r="B181" s="5" t="s">
        <v>1695</v>
      </c>
      <c r="D181" s="8" t="s">
        <v>671</v>
      </c>
      <c r="E181" s="9" t="s">
        <v>1728</v>
      </c>
      <c r="F181" s="5" t="s">
        <v>50</v>
      </c>
      <c r="G181" s="5" t="s">
        <v>1705</v>
      </c>
      <c r="H181" s="5" t="s">
        <v>691</v>
      </c>
      <c r="I181" s="5" t="s">
        <v>662</v>
      </c>
      <c r="J181" s="5" t="s">
        <v>401</v>
      </c>
    </row>
    <row r="182" spans="1:17" ht="45" customHeight="1" x14ac:dyDescent="0.45">
      <c r="A182" s="5" t="s">
        <v>1981</v>
      </c>
      <c r="B182" s="5" t="s">
        <v>1695</v>
      </c>
      <c r="D182" s="8" t="s">
        <v>305</v>
      </c>
      <c r="E182" s="9" t="s">
        <v>1729</v>
      </c>
      <c r="F182" s="5" t="s">
        <v>50</v>
      </c>
      <c r="G182" s="5" t="s">
        <v>1730</v>
      </c>
      <c r="H182" s="5" t="s">
        <v>181</v>
      </c>
      <c r="I182" s="5" t="s">
        <v>181</v>
      </c>
      <c r="Q182" s="5" t="s">
        <v>1712</v>
      </c>
    </row>
    <row r="183" spans="1:17" ht="45" customHeight="1" x14ac:dyDescent="0.45">
      <c r="A183" s="5" t="s">
        <v>1982</v>
      </c>
      <c r="B183" s="5" t="s">
        <v>1695</v>
      </c>
      <c r="D183" s="8" t="s">
        <v>393</v>
      </c>
      <c r="E183" s="9" t="s">
        <v>1734</v>
      </c>
      <c r="F183" s="5" t="s">
        <v>1733</v>
      </c>
      <c r="G183" s="5" t="s">
        <v>1732</v>
      </c>
      <c r="H183" s="5" t="s">
        <v>181</v>
      </c>
      <c r="I183" s="5" t="s">
        <v>662</v>
      </c>
      <c r="J183" s="5" t="s">
        <v>401</v>
      </c>
      <c r="Q183" s="5" t="s">
        <v>1731</v>
      </c>
    </row>
    <row r="184" spans="1:17" ht="45" customHeight="1" x14ac:dyDescent="0.45">
      <c r="A184" s="5" t="s">
        <v>1983</v>
      </c>
      <c r="B184" s="5" t="s">
        <v>1695</v>
      </c>
      <c r="D184" s="8" t="s">
        <v>593</v>
      </c>
      <c r="E184" s="9" t="s">
        <v>1735</v>
      </c>
      <c r="F184" s="5" t="s">
        <v>50</v>
      </c>
      <c r="G184" s="5" t="s">
        <v>1704</v>
      </c>
      <c r="H184" s="5" t="s">
        <v>1703</v>
      </c>
      <c r="I184" s="5" t="s">
        <v>231</v>
      </c>
      <c r="J184" s="5" t="s">
        <v>232</v>
      </c>
    </row>
    <row r="185" spans="1:17" ht="45" customHeight="1" x14ac:dyDescent="0.45">
      <c r="A185" s="5" t="s">
        <v>1984</v>
      </c>
      <c r="B185" s="5" t="s">
        <v>1695</v>
      </c>
      <c r="D185" s="8" t="s">
        <v>397</v>
      </c>
      <c r="E185" s="9" t="s">
        <v>1736</v>
      </c>
      <c r="F185" s="5" t="s">
        <v>50</v>
      </c>
      <c r="G185" s="5" t="s">
        <v>1705</v>
      </c>
      <c r="H185" s="5" t="s">
        <v>691</v>
      </c>
      <c r="I185" s="5" t="s">
        <v>231</v>
      </c>
      <c r="J185" s="5" t="s">
        <v>232</v>
      </c>
    </row>
    <row r="186" spans="1:17" ht="45" customHeight="1" x14ac:dyDescent="0.45">
      <c r="A186" s="5" t="s">
        <v>1985</v>
      </c>
      <c r="B186" s="5" t="s">
        <v>1695</v>
      </c>
      <c r="D186" s="8" t="s">
        <v>337</v>
      </c>
      <c r="E186" s="9" t="s">
        <v>1699</v>
      </c>
      <c r="F186" s="5" t="s">
        <v>50</v>
      </c>
      <c r="G186" s="5" t="s">
        <v>1705</v>
      </c>
      <c r="H186" s="5" t="s">
        <v>691</v>
      </c>
      <c r="I186" s="5" t="s">
        <v>1586</v>
      </c>
      <c r="J186" s="5" t="s">
        <v>211</v>
      </c>
      <c r="Q186" s="5" t="s">
        <v>1698</v>
      </c>
    </row>
    <row r="187" spans="1:17" ht="45" customHeight="1" x14ac:dyDescent="0.45">
      <c r="A187" s="5" t="s">
        <v>1986</v>
      </c>
      <c r="B187" s="5" t="s">
        <v>1695</v>
      </c>
      <c r="D187" s="8" t="s">
        <v>404</v>
      </c>
      <c r="E187" s="9" t="s">
        <v>1737</v>
      </c>
      <c r="F187" s="5" t="s">
        <v>50</v>
      </c>
      <c r="G187" s="5" t="s">
        <v>1711</v>
      </c>
      <c r="H187" s="5" t="s">
        <v>181</v>
      </c>
      <c r="I187" s="5" t="s">
        <v>181</v>
      </c>
      <c r="Q187" s="5" t="s">
        <v>1712</v>
      </c>
    </row>
    <row r="188" spans="1:17" ht="45" customHeight="1" x14ac:dyDescent="0.45">
      <c r="A188" s="5" t="s">
        <v>1987</v>
      </c>
      <c r="B188" s="5" t="s">
        <v>1695</v>
      </c>
      <c r="D188" s="8" t="s">
        <v>309</v>
      </c>
      <c r="E188" s="9" t="s">
        <v>1737</v>
      </c>
      <c r="F188" s="5" t="s">
        <v>50</v>
      </c>
      <c r="G188" s="5" t="s">
        <v>1711</v>
      </c>
      <c r="H188" s="5" t="s">
        <v>181</v>
      </c>
      <c r="I188" s="5" t="s">
        <v>231</v>
      </c>
      <c r="J188" s="5" t="s">
        <v>232</v>
      </c>
    </row>
    <row r="189" spans="1:17" ht="45" customHeight="1" x14ac:dyDescent="0.45">
      <c r="A189" s="5" t="s">
        <v>1988</v>
      </c>
      <c r="B189" s="5" t="s">
        <v>1695</v>
      </c>
      <c r="D189" s="8" t="s">
        <v>311</v>
      </c>
      <c r="E189" s="9" t="s">
        <v>1738</v>
      </c>
      <c r="F189" s="5" t="s">
        <v>50</v>
      </c>
      <c r="G189" s="5" t="s">
        <v>1705</v>
      </c>
      <c r="H189" s="5" t="s">
        <v>691</v>
      </c>
      <c r="I189" s="5" t="s">
        <v>231</v>
      </c>
      <c r="J189" s="5" t="s">
        <v>232</v>
      </c>
    </row>
    <row r="190" spans="1:17" ht="45" customHeight="1" x14ac:dyDescent="0.45">
      <c r="A190" s="5" t="s">
        <v>1989</v>
      </c>
      <c r="B190" s="5" t="s">
        <v>1695</v>
      </c>
      <c r="D190" s="8" t="s">
        <v>313</v>
      </c>
      <c r="E190" s="9" t="s">
        <v>1739</v>
      </c>
      <c r="F190" s="5" t="s">
        <v>50</v>
      </c>
      <c r="G190" s="5" t="s">
        <v>1704</v>
      </c>
      <c r="H190" s="5" t="s">
        <v>1703</v>
      </c>
      <c r="I190" s="5" t="s">
        <v>231</v>
      </c>
      <c r="J190" s="5" t="s">
        <v>232</v>
      </c>
    </row>
    <row r="191" spans="1:17" ht="45" customHeight="1" x14ac:dyDescent="0.45">
      <c r="A191" s="5" t="s">
        <v>1990</v>
      </c>
      <c r="B191" s="5" t="s">
        <v>1695</v>
      </c>
      <c r="D191" s="8" t="s">
        <v>315</v>
      </c>
      <c r="E191" s="9" t="s">
        <v>1740</v>
      </c>
      <c r="F191" s="5" t="s">
        <v>50</v>
      </c>
      <c r="G191" s="5" t="s">
        <v>1705</v>
      </c>
      <c r="H191" s="5" t="s">
        <v>691</v>
      </c>
      <c r="I191" s="5" t="s">
        <v>231</v>
      </c>
      <c r="J191" s="5" t="s">
        <v>232</v>
      </c>
      <c r="Q191" s="5" t="s">
        <v>1741</v>
      </c>
    </row>
    <row r="192" spans="1:17" ht="45" customHeight="1" x14ac:dyDescent="0.45">
      <c r="A192" s="5" t="s">
        <v>1991</v>
      </c>
      <c r="B192" s="5" t="s">
        <v>1695</v>
      </c>
      <c r="D192" s="8" t="s">
        <v>316</v>
      </c>
      <c r="E192" s="9" t="s">
        <v>1743</v>
      </c>
      <c r="F192" s="5" t="s">
        <v>50</v>
      </c>
      <c r="G192" s="5" t="s">
        <v>1742</v>
      </c>
      <c r="H192" s="5" t="s">
        <v>608</v>
      </c>
      <c r="I192" s="5" t="s">
        <v>231</v>
      </c>
      <c r="J192" s="5" t="s">
        <v>232</v>
      </c>
    </row>
    <row r="193" spans="1:17" ht="45" customHeight="1" x14ac:dyDescent="0.45">
      <c r="A193" s="5" t="s">
        <v>1992</v>
      </c>
      <c r="B193" s="5" t="s">
        <v>1695</v>
      </c>
      <c r="D193" s="8" t="s">
        <v>414</v>
      </c>
      <c r="E193" s="9" t="s">
        <v>1745</v>
      </c>
      <c r="F193" s="5" t="s">
        <v>50</v>
      </c>
      <c r="G193" s="5" t="s">
        <v>1744</v>
      </c>
      <c r="H193" s="5" t="s">
        <v>181</v>
      </c>
      <c r="I193" s="5" t="s">
        <v>231</v>
      </c>
      <c r="J193" s="5" t="s">
        <v>232</v>
      </c>
    </row>
    <row r="194" spans="1:17" ht="45" customHeight="1" x14ac:dyDescent="0.45">
      <c r="A194" s="5" t="s">
        <v>1993</v>
      </c>
      <c r="B194" s="5" t="s">
        <v>1695</v>
      </c>
      <c r="D194" s="8" t="s">
        <v>317</v>
      </c>
      <c r="E194" s="9" t="s">
        <v>1525</v>
      </c>
      <c r="F194" s="5" t="s">
        <v>50</v>
      </c>
      <c r="G194" s="5" t="s">
        <v>245</v>
      </c>
      <c r="H194" s="5" t="s">
        <v>181</v>
      </c>
      <c r="I194" s="5" t="s">
        <v>231</v>
      </c>
      <c r="J194" s="5" t="s">
        <v>232</v>
      </c>
    </row>
    <row r="195" spans="1:17" ht="45" customHeight="1" x14ac:dyDescent="0.45">
      <c r="A195" s="5" t="s">
        <v>1994</v>
      </c>
      <c r="B195" s="5" t="s">
        <v>1695</v>
      </c>
      <c r="D195" s="8" t="s">
        <v>318</v>
      </c>
      <c r="E195" s="9" t="s">
        <v>1746</v>
      </c>
      <c r="F195" s="5" t="s">
        <v>50</v>
      </c>
      <c r="G195" s="5" t="s">
        <v>1713</v>
      </c>
      <c r="H195" s="5" t="s">
        <v>181</v>
      </c>
      <c r="I195" s="5" t="s">
        <v>231</v>
      </c>
      <c r="J195" s="5" t="s">
        <v>232</v>
      </c>
    </row>
    <row r="196" spans="1:17" ht="45" customHeight="1" x14ac:dyDescent="0.45">
      <c r="A196" s="5" t="s">
        <v>1995</v>
      </c>
      <c r="B196" s="5" t="s">
        <v>1695</v>
      </c>
      <c r="D196" s="8" t="s">
        <v>248</v>
      </c>
      <c r="E196" s="9" t="s">
        <v>1699</v>
      </c>
      <c r="F196" s="5" t="s">
        <v>50</v>
      </c>
      <c r="G196" s="5" t="s">
        <v>1705</v>
      </c>
      <c r="H196" s="5" t="s">
        <v>691</v>
      </c>
      <c r="I196" s="5" t="s">
        <v>231</v>
      </c>
      <c r="J196" s="5" t="s">
        <v>232</v>
      </c>
    </row>
    <row r="197" spans="1:17" ht="45" customHeight="1" x14ac:dyDescent="0.45">
      <c r="A197" s="5" t="s">
        <v>1996</v>
      </c>
      <c r="B197" s="5" t="s">
        <v>1695</v>
      </c>
      <c r="D197" s="8" t="s">
        <v>673</v>
      </c>
      <c r="E197" s="9" t="s">
        <v>1747</v>
      </c>
      <c r="F197" s="5" t="s">
        <v>50</v>
      </c>
      <c r="G197" s="5" t="s">
        <v>1724</v>
      </c>
      <c r="H197" s="5" t="s">
        <v>608</v>
      </c>
      <c r="I197" s="5" t="s">
        <v>231</v>
      </c>
      <c r="J197" s="5" t="s">
        <v>232</v>
      </c>
    </row>
    <row r="198" spans="1:17" ht="45" customHeight="1" x14ac:dyDescent="0.45">
      <c r="A198" s="5" t="s">
        <v>1997</v>
      </c>
      <c r="B198" s="5" t="s">
        <v>1695</v>
      </c>
      <c r="D198" s="8" t="s">
        <v>321</v>
      </c>
      <c r="E198" s="9" t="s">
        <v>1748</v>
      </c>
      <c r="F198" s="5" t="s">
        <v>50</v>
      </c>
      <c r="G198" s="5" t="s">
        <v>1713</v>
      </c>
      <c r="H198" s="5" t="s">
        <v>181</v>
      </c>
      <c r="I198" s="5" t="s">
        <v>231</v>
      </c>
      <c r="J198" s="5" t="s">
        <v>232</v>
      </c>
    </row>
    <row r="199" spans="1:17" ht="45" customHeight="1" x14ac:dyDescent="0.45">
      <c r="A199" s="5" t="s">
        <v>1998</v>
      </c>
      <c r="B199" s="5" t="s">
        <v>1695</v>
      </c>
      <c r="D199" s="8" t="s">
        <v>674</v>
      </c>
      <c r="E199" s="9" t="s">
        <v>1749</v>
      </c>
      <c r="F199" s="5" t="s">
        <v>50</v>
      </c>
      <c r="G199" s="5" t="s">
        <v>1705</v>
      </c>
      <c r="H199" s="5" t="s">
        <v>691</v>
      </c>
      <c r="I199" s="5" t="s">
        <v>231</v>
      </c>
      <c r="J199" s="5" t="s">
        <v>232</v>
      </c>
    </row>
    <row r="200" spans="1:17" ht="45" customHeight="1" x14ac:dyDescent="0.45">
      <c r="A200" s="5" t="s">
        <v>1999</v>
      </c>
      <c r="B200" s="5" t="s">
        <v>1695</v>
      </c>
      <c r="D200" s="8" t="s">
        <v>419</v>
      </c>
      <c r="E200" s="9" t="s">
        <v>1751</v>
      </c>
      <c r="F200" s="5" t="s">
        <v>50</v>
      </c>
      <c r="G200" s="5" t="s">
        <v>1750</v>
      </c>
      <c r="H200" s="5" t="s">
        <v>608</v>
      </c>
      <c r="I200" s="5" t="s">
        <v>231</v>
      </c>
      <c r="J200" s="5" t="s">
        <v>232</v>
      </c>
    </row>
    <row r="201" spans="1:17" ht="45" customHeight="1" x14ac:dyDescent="0.45">
      <c r="A201" s="5" t="s">
        <v>2000</v>
      </c>
      <c r="B201" s="5" t="s">
        <v>1695</v>
      </c>
      <c r="D201" s="8" t="s">
        <v>611</v>
      </c>
      <c r="E201" s="9" t="s">
        <v>1752</v>
      </c>
      <c r="F201" s="5" t="s">
        <v>50</v>
      </c>
      <c r="G201" s="5" t="s">
        <v>1753</v>
      </c>
      <c r="H201" s="5" t="s">
        <v>608</v>
      </c>
      <c r="I201" s="5" t="s">
        <v>231</v>
      </c>
      <c r="J201" s="5" t="s">
        <v>232</v>
      </c>
    </row>
    <row r="202" spans="1:17" ht="45" customHeight="1" x14ac:dyDescent="0.45">
      <c r="A202" s="5" t="s">
        <v>2001</v>
      </c>
      <c r="B202" s="5" t="s">
        <v>1695</v>
      </c>
      <c r="D202" s="8" t="s">
        <v>613</v>
      </c>
      <c r="E202" s="9" t="s">
        <v>1754</v>
      </c>
      <c r="F202" s="5" t="s">
        <v>50</v>
      </c>
      <c r="G202" s="5" t="s">
        <v>1711</v>
      </c>
      <c r="H202" s="5" t="s">
        <v>181</v>
      </c>
      <c r="I202" s="5" t="s">
        <v>231</v>
      </c>
      <c r="J202" s="5" t="s">
        <v>232</v>
      </c>
    </row>
    <row r="203" spans="1:17" ht="45" customHeight="1" x14ac:dyDescent="0.45">
      <c r="A203" s="5" t="s">
        <v>2002</v>
      </c>
      <c r="B203" s="5" t="s">
        <v>1695</v>
      </c>
      <c r="D203" s="8" t="s">
        <v>595</v>
      </c>
      <c r="E203" s="9" t="s">
        <v>1754</v>
      </c>
      <c r="F203" s="5" t="s">
        <v>50</v>
      </c>
      <c r="G203" s="5" t="s">
        <v>1705</v>
      </c>
      <c r="H203" s="5" t="s">
        <v>691</v>
      </c>
      <c r="I203" s="5" t="s">
        <v>231</v>
      </c>
      <c r="J203" s="5" t="s">
        <v>232</v>
      </c>
    </row>
    <row r="204" spans="1:17" ht="45" customHeight="1" x14ac:dyDescent="0.45">
      <c r="A204" s="5" t="s">
        <v>2003</v>
      </c>
      <c r="B204" s="5" t="s">
        <v>1695</v>
      </c>
      <c r="D204" s="8" t="s">
        <v>322</v>
      </c>
      <c r="E204" s="9" t="s">
        <v>1755</v>
      </c>
      <c r="F204" s="5" t="s">
        <v>50</v>
      </c>
      <c r="G204" s="5" t="s">
        <v>1697</v>
      </c>
      <c r="H204" s="5" t="s">
        <v>218</v>
      </c>
      <c r="I204" s="5" t="s">
        <v>231</v>
      </c>
      <c r="J204" s="5" t="s">
        <v>232</v>
      </c>
      <c r="Q204" s="5" t="s">
        <v>1756</v>
      </c>
    </row>
    <row r="205" spans="1:17" ht="45" customHeight="1" x14ac:dyDescent="0.45">
      <c r="A205" s="5" t="s">
        <v>2004</v>
      </c>
      <c r="B205" s="5" t="s">
        <v>1695</v>
      </c>
      <c r="D205" s="8" t="s">
        <v>323</v>
      </c>
      <c r="E205" s="9" t="s">
        <v>1757</v>
      </c>
      <c r="F205" s="5" t="s">
        <v>50</v>
      </c>
      <c r="G205" s="5" t="s">
        <v>1705</v>
      </c>
      <c r="H205" s="5" t="s">
        <v>691</v>
      </c>
      <c r="I205" s="5" t="s">
        <v>231</v>
      </c>
      <c r="J205" s="5" t="s">
        <v>232</v>
      </c>
    </row>
    <row r="206" spans="1:17" ht="45" customHeight="1" x14ac:dyDescent="0.45">
      <c r="A206" s="5" t="s">
        <v>2005</v>
      </c>
      <c r="B206" s="5" t="s">
        <v>1695</v>
      </c>
      <c r="D206" s="8" t="s">
        <v>577</v>
      </c>
      <c r="E206" s="9" t="s">
        <v>1699</v>
      </c>
      <c r="F206" s="5" t="s">
        <v>50</v>
      </c>
      <c r="G206" s="5" t="s">
        <v>1705</v>
      </c>
      <c r="H206" s="5" t="s">
        <v>691</v>
      </c>
      <c r="I206" s="5" t="s">
        <v>662</v>
      </c>
      <c r="J206" s="5" t="s">
        <v>401</v>
      </c>
      <c r="K206" s="5" t="s">
        <v>600</v>
      </c>
      <c r="Q206" s="5" t="s">
        <v>1701</v>
      </c>
    </row>
    <row r="207" spans="1:17" ht="45" customHeight="1" x14ac:dyDescent="0.45">
      <c r="A207" s="5" t="s">
        <v>2006</v>
      </c>
      <c r="B207" s="5" t="s">
        <v>1695</v>
      </c>
      <c r="D207" s="8" t="s">
        <v>325</v>
      </c>
      <c r="E207" s="9" t="s">
        <v>1757</v>
      </c>
      <c r="F207" s="5" t="s">
        <v>50</v>
      </c>
      <c r="G207" s="5" t="s">
        <v>1704</v>
      </c>
      <c r="H207" s="5" t="s">
        <v>1703</v>
      </c>
      <c r="I207" s="5" t="s">
        <v>231</v>
      </c>
      <c r="J207" s="5" t="s">
        <v>232</v>
      </c>
    </row>
    <row r="208" spans="1:17" ht="45" customHeight="1" x14ac:dyDescent="0.45">
      <c r="A208" s="5" t="s">
        <v>2007</v>
      </c>
      <c r="B208" s="5" t="s">
        <v>1695</v>
      </c>
      <c r="D208" s="8" t="s">
        <v>244</v>
      </c>
      <c r="E208" s="9" t="s">
        <v>1702</v>
      </c>
      <c r="F208" s="5" t="s">
        <v>50</v>
      </c>
      <c r="G208" s="5" t="s">
        <v>1705</v>
      </c>
      <c r="H208" s="5" t="s">
        <v>691</v>
      </c>
      <c r="I208" s="5" t="s">
        <v>231</v>
      </c>
      <c r="J208" s="5" t="s">
        <v>232</v>
      </c>
    </row>
    <row r="209" spans="1:17" ht="45" customHeight="1" x14ac:dyDescent="0.45">
      <c r="A209" s="5" t="s">
        <v>2008</v>
      </c>
      <c r="B209" s="5" t="s">
        <v>183</v>
      </c>
      <c r="D209" s="8" t="s">
        <v>198</v>
      </c>
      <c r="E209" s="9" t="s">
        <v>199</v>
      </c>
      <c r="F209" s="5" t="s">
        <v>185</v>
      </c>
      <c r="G209" s="5" t="s">
        <v>179</v>
      </c>
      <c r="H209" s="5" t="s">
        <v>225</v>
      </c>
      <c r="I209" s="5" t="s">
        <v>1586</v>
      </c>
      <c r="J209" s="5" t="s">
        <v>211</v>
      </c>
      <c r="K209" s="5" t="s">
        <v>605</v>
      </c>
      <c r="N209" s="5" t="s">
        <v>642</v>
      </c>
      <c r="O209" s="5" t="s">
        <v>196</v>
      </c>
      <c r="P209" s="5" t="s">
        <v>197</v>
      </c>
      <c r="Q209" s="5" t="s">
        <v>195</v>
      </c>
    </row>
    <row r="210" spans="1:17" ht="45" customHeight="1" x14ac:dyDescent="0.45">
      <c r="A210" s="5" t="s">
        <v>2009</v>
      </c>
      <c r="B210" s="5" t="s">
        <v>183</v>
      </c>
      <c r="D210" s="8" t="s">
        <v>200</v>
      </c>
      <c r="E210" s="9" t="s">
        <v>201</v>
      </c>
      <c r="F210" s="5" t="s">
        <v>185</v>
      </c>
      <c r="G210" s="5" t="s">
        <v>179</v>
      </c>
      <c r="H210" s="5" t="s">
        <v>225</v>
      </c>
      <c r="I210" s="5" t="s">
        <v>231</v>
      </c>
      <c r="J210" s="5" t="s">
        <v>1150</v>
      </c>
      <c r="K210" s="5" t="s">
        <v>605</v>
      </c>
      <c r="O210" s="5" t="s">
        <v>203</v>
      </c>
      <c r="P210" s="5" t="s">
        <v>204</v>
      </c>
      <c r="Q210" s="5" t="s">
        <v>202</v>
      </c>
    </row>
    <row r="211" spans="1:17" ht="45" customHeight="1" x14ac:dyDescent="0.45">
      <c r="A211" s="5" t="s">
        <v>2010</v>
      </c>
      <c r="B211" s="5" t="s">
        <v>183</v>
      </c>
      <c r="D211" s="8" t="s">
        <v>208</v>
      </c>
      <c r="E211" s="9" t="s">
        <v>188</v>
      </c>
      <c r="F211" s="5" t="s">
        <v>185</v>
      </c>
      <c r="G211" s="5" t="s">
        <v>179</v>
      </c>
      <c r="H211" s="5" t="s">
        <v>225</v>
      </c>
      <c r="I211" s="5" t="s">
        <v>1586</v>
      </c>
      <c r="J211" s="5" t="s">
        <v>211</v>
      </c>
      <c r="K211" s="5" t="s">
        <v>605</v>
      </c>
      <c r="O211" s="5" t="s">
        <v>206</v>
      </c>
      <c r="P211" s="5" t="s">
        <v>207</v>
      </c>
      <c r="Q211" s="5" t="s">
        <v>205</v>
      </c>
    </row>
    <row r="212" spans="1:17" ht="45" customHeight="1" x14ac:dyDescent="0.45">
      <c r="A212" s="5" t="s">
        <v>2011</v>
      </c>
      <c r="B212" s="5" t="s">
        <v>183</v>
      </c>
      <c r="D212" s="8" t="s">
        <v>189</v>
      </c>
      <c r="E212" s="9" t="s">
        <v>188</v>
      </c>
      <c r="F212" s="5" t="s">
        <v>185</v>
      </c>
      <c r="G212" s="5" t="s">
        <v>179</v>
      </c>
      <c r="H212" s="5" t="s">
        <v>225</v>
      </c>
      <c r="I212" s="5" t="s">
        <v>1586</v>
      </c>
      <c r="J212" s="5" t="s">
        <v>211</v>
      </c>
      <c r="K212" s="5" t="s">
        <v>605</v>
      </c>
      <c r="O212" s="5" t="s">
        <v>186</v>
      </c>
      <c r="P212" s="5" t="s">
        <v>187</v>
      </c>
      <c r="Q212" s="5" t="s">
        <v>184</v>
      </c>
    </row>
    <row r="213" spans="1:17" ht="45" customHeight="1" x14ac:dyDescent="0.45">
      <c r="A213" s="5" t="s">
        <v>2012</v>
      </c>
      <c r="B213" s="5" t="s">
        <v>183</v>
      </c>
      <c r="D213" s="8" t="s">
        <v>190</v>
      </c>
      <c r="E213" s="9" t="s">
        <v>191</v>
      </c>
      <c r="F213" s="5" t="s">
        <v>185</v>
      </c>
      <c r="G213" s="5" t="s">
        <v>179</v>
      </c>
      <c r="H213" s="5" t="s">
        <v>225</v>
      </c>
      <c r="I213" s="5" t="s">
        <v>1586</v>
      </c>
      <c r="J213" s="5" t="s">
        <v>211</v>
      </c>
      <c r="K213" s="5" t="s">
        <v>605</v>
      </c>
      <c r="O213" s="5" t="s">
        <v>192</v>
      </c>
      <c r="P213" s="5" t="s">
        <v>193</v>
      </c>
      <c r="Q213" s="5" t="s">
        <v>194</v>
      </c>
    </row>
    <row r="214" spans="1:17" ht="45" customHeight="1" x14ac:dyDescent="0.45">
      <c r="A214" s="5" t="s">
        <v>2013</v>
      </c>
      <c r="B214" s="5" t="s">
        <v>548</v>
      </c>
      <c r="C214" s="5" t="s">
        <v>330</v>
      </c>
      <c r="D214" s="8" t="s">
        <v>554</v>
      </c>
      <c r="E214" s="9" t="s">
        <v>273</v>
      </c>
      <c r="F214" s="5" t="s">
        <v>553</v>
      </c>
      <c r="G214" s="5" t="s">
        <v>555</v>
      </c>
      <c r="H214" s="5" t="s">
        <v>181</v>
      </c>
      <c r="I214" s="5" t="s">
        <v>179</v>
      </c>
      <c r="J214" s="5" t="s">
        <v>552</v>
      </c>
      <c r="K214" s="5" t="s">
        <v>181</v>
      </c>
      <c r="Q214" s="5" t="s">
        <v>558</v>
      </c>
    </row>
    <row r="215" spans="1:17" ht="45" customHeight="1" x14ac:dyDescent="0.45">
      <c r="A215" s="5" t="s">
        <v>2014</v>
      </c>
      <c r="B215" s="5" t="s">
        <v>548</v>
      </c>
      <c r="C215" s="5" t="s">
        <v>557</v>
      </c>
      <c r="D215" s="8" t="s">
        <v>556</v>
      </c>
      <c r="E215" s="9" t="s">
        <v>273</v>
      </c>
      <c r="F215" s="5" t="s">
        <v>553</v>
      </c>
      <c r="G215" s="5" t="s">
        <v>555</v>
      </c>
      <c r="H215" s="5" t="s">
        <v>181</v>
      </c>
      <c r="I215" s="5" t="s">
        <v>1586</v>
      </c>
      <c r="J215" s="5" t="s">
        <v>211</v>
      </c>
      <c r="K215" s="5" t="s">
        <v>607</v>
      </c>
    </row>
    <row r="216" spans="1:17" ht="45" customHeight="1" x14ac:dyDescent="0.45">
      <c r="A216" s="5" t="s">
        <v>2015</v>
      </c>
      <c r="B216" s="5" t="s">
        <v>548</v>
      </c>
      <c r="C216" s="5" t="s">
        <v>559</v>
      </c>
      <c r="D216" s="8" t="s">
        <v>560</v>
      </c>
      <c r="E216" s="9" t="s">
        <v>561</v>
      </c>
      <c r="F216" s="5" t="s">
        <v>245</v>
      </c>
      <c r="G216" s="5" t="s">
        <v>245</v>
      </c>
      <c r="H216" s="5" t="s">
        <v>181</v>
      </c>
      <c r="I216" s="5" t="s">
        <v>1586</v>
      </c>
      <c r="J216" s="5" t="s">
        <v>211</v>
      </c>
      <c r="K216" s="5" t="s">
        <v>607</v>
      </c>
    </row>
    <row r="217" spans="1:17" ht="45" customHeight="1" x14ac:dyDescent="0.45">
      <c r="A217" s="5" t="s">
        <v>2016</v>
      </c>
      <c r="B217" s="5" t="s">
        <v>548</v>
      </c>
      <c r="C217" s="5" t="s">
        <v>563</v>
      </c>
      <c r="D217" s="8" t="s">
        <v>565</v>
      </c>
      <c r="E217" s="9" t="s">
        <v>564</v>
      </c>
      <c r="F217" s="5" t="s">
        <v>181</v>
      </c>
      <c r="G217" s="5" t="s">
        <v>562</v>
      </c>
      <c r="H217" s="5" t="s">
        <v>181</v>
      </c>
      <c r="I217" s="5" t="s">
        <v>1586</v>
      </c>
      <c r="J217" s="5" t="s">
        <v>211</v>
      </c>
      <c r="K217" s="5" t="s">
        <v>181</v>
      </c>
    </row>
    <row r="218" spans="1:17" ht="45" customHeight="1" x14ac:dyDescent="0.45">
      <c r="A218" s="5" t="s">
        <v>2017</v>
      </c>
      <c r="B218" s="5" t="s">
        <v>548</v>
      </c>
      <c r="C218" s="5" t="s">
        <v>566</v>
      </c>
      <c r="D218" s="8" t="s">
        <v>567</v>
      </c>
      <c r="E218" s="9" t="s">
        <v>568</v>
      </c>
      <c r="F218" s="5" t="s">
        <v>328</v>
      </c>
      <c r="G218" s="5" t="s">
        <v>179</v>
      </c>
      <c r="H218" s="5" t="s">
        <v>569</v>
      </c>
      <c r="I218" s="5" t="s">
        <v>179</v>
      </c>
      <c r="J218" s="5" t="s">
        <v>570</v>
      </c>
      <c r="K218" s="5" t="s">
        <v>181</v>
      </c>
    </row>
    <row r="219" spans="1:17" ht="45" customHeight="1" x14ac:dyDescent="0.45">
      <c r="A219" s="5" t="s">
        <v>2018</v>
      </c>
      <c r="B219" s="5" t="s">
        <v>548</v>
      </c>
      <c r="C219" s="5" t="s">
        <v>571</v>
      </c>
      <c r="D219" s="8" t="s">
        <v>572</v>
      </c>
      <c r="E219" s="9" t="s">
        <v>573</v>
      </c>
      <c r="F219" s="5" t="s">
        <v>181</v>
      </c>
      <c r="G219" s="5" t="s">
        <v>574</v>
      </c>
      <c r="H219" s="5" t="s">
        <v>181</v>
      </c>
      <c r="I219" s="5" t="s">
        <v>179</v>
      </c>
      <c r="J219" s="5" t="s">
        <v>181</v>
      </c>
      <c r="K219" s="5" t="s">
        <v>181</v>
      </c>
    </row>
    <row r="220" spans="1:17" ht="45" customHeight="1" x14ac:dyDescent="0.45">
      <c r="A220" s="5" t="s">
        <v>2019</v>
      </c>
      <c r="B220" s="5" t="s">
        <v>548</v>
      </c>
      <c r="C220" s="5" t="s">
        <v>425</v>
      </c>
      <c r="D220" s="8" t="s">
        <v>549</v>
      </c>
      <c r="E220" s="9" t="s">
        <v>550</v>
      </c>
      <c r="F220" s="5" t="s">
        <v>181</v>
      </c>
      <c r="G220" s="5" t="s">
        <v>551</v>
      </c>
      <c r="H220" s="5" t="s">
        <v>181</v>
      </c>
      <c r="I220" s="5" t="s">
        <v>1586</v>
      </c>
      <c r="J220" s="5" t="s">
        <v>211</v>
      </c>
      <c r="K220" s="5" t="s">
        <v>181</v>
      </c>
    </row>
    <row r="221" spans="1:17" ht="45" customHeight="1" x14ac:dyDescent="0.45">
      <c r="A221" s="5" t="s">
        <v>2020</v>
      </c>
      <c r="B221" s="5" t="s">
        <v>650</v>
      </c>
      <c r="C221" s="5" t="s">
        <v>1359</v>
      </c>
      <c r="D221" s="8" t="s">
        <v>578</v>
      </c>
      <c r="E221" s="9" t="s">
        <v>1360</v>
      </c>
      <c r="F221" s="5" t="s">
        <v>105</v>
      </c>
      <c r="G221" s="5" t="s">
        <v>1265</v>
      </c>
      <c r="H221" s="5" t="s">
        <v>908</v>
      </c>
      <c r="I221" s="5" t="s">
        <v>1586</v>
      </c>
      <c r="J221" s="5" t="s">
        <v>211</v>
      </c>
      <c r="K221" s="5" t="s">
        <v>602</v>
      </c>
      <c r="M221" s="5" t="s">
        <v>819</v>
      </c>
    </row>
    <row r="222" spans="1:17" ht="45" customHeight="1" x14ac:dyDescent="0.45">
      <c r="A222" s="5" t="s">
        <v>2021</v>
      </c>
      <c r="B222" s="5" t="s">
        <v>650</v>
      </c>
      <c r="C222" s="5" t="s">
        <v>1450</v>
      </c>
      <c r="D222" s="8" t="s">
        <v>329</v>
      </c>
      <c r="E222" s="9" t="s">
        <v>1451</v>
      </c>
      <c r="F222" s="5" t="s">
        <v>105</v>
      </c>
      <c r="G222" s="5" t="s">
        <v>1179</v>
      </c>
      <c r="H222" s="5" t="s">
        <v>181</v>
      </c>
      <c r="I222" s="5" t="s">
        <v>1586</v>
      </c>
      <c r="J222" s="5" t="s">
        <v>211</v>
      </c>
    </row>
    <row r="223" spans="1:17" ht="45" customHeight="1" x14ac:dyDescent="0.45">
      <c r="A223" s="5" t="s">
        <v>2022</v>
      </c>
      <c r="B223" s="5" t="s">
        <v>650</v>
      </c>
      <c r="C223" s="5" t="s">
        <v>486</v>
      </c>
      <c r="D223" s="8" t="s">
        <v>246</v>
      </c>
      <c r="E223" s="9" t="s">
        <v>652</v>
      </c>
      <c r="F223" s="5" t="s">
        <v>105</v>
      </c>
      <c r="G223" s="5" t="s">
        <v>217</v>
      </c>
      <c r="H223" s="5" t="s">
        <v>218</v>
      </c>
      <c r="I223" s="5" t="s">
        <v>1586</v>
      </c>
      <c r="J223" s="5" t="s">
        <v>211</v>
      </c>
      <c r="K223" s="5" t="s">
        <v>606</v>
      </c>
    </row>
    <row r="224" spans="1:17" ht="45" customHeight="1" x14ac:dyDescent="0.45">
      <c r="A224" s="5" t="s">
        <v>2023</v>
      </c>
      <c r="B224" s="5" t="s">
        <v>650</v>
      </c>
      <c r="C224" s="5" t="s">
        <v>1452</v>
      </c>
      <c r="D224" s="8" t="s">
        <v>285</v>
      </c>
      <c r="E224" s="9" t="s">
        <v>1453</v>
      </c>
      <c r="F224" s="5" t="s">
        <v>105</v>
      </c>
      <c r="G224" s="5" t="s">
        <v>1153</v>
      </c>
      <c r="H224" s="5" t="s">
        <v>908</v>
      </c>
      <c r="I224" s="5" t="s">
        <v>231</v>
      </c>
      <c r="J224" s="5" t="s">
        <v>232</v>
      </c>
      <c r="K224" s="5" t="s">
        <v>602</v>
      </c>
      <c r="M224" s="5" t="s">
        <v>819</v>
      </c>
    </row>
    <row r="225" spans="1:17" ht="45" customHeight="1" x14ac:dyDescent="0.45">
      <c r="A225" s="5" t="s">
        <v>2024</v>
      </c>
      <c r="B225" s="5" t="s">
        <v>650</v>
      </c>
      <c r="C225" s="5" t="s">
        <v>326</v>
      </c>
      <c r="D225" s="8" t="s">
        <v>285</v>
      </c>
      <c r="E225" s="9" t="s">
        <v>675</v>
      </c>
      <c r="F225" s="5" t="s">
        <v>105</v>
      </c>
      <c r="G225" s="5" t="s">
        <v>217</v>
      </c>
      <c r="H225" s="5" t="s">
        <v>218</v>
      </c>
      <c r="I225" s="5" t="s">
        <v>1586</v>
      </c>
      <c r="J225" s="5" t="s">
        <v>211</v>
      </c>
      <c r="K225" s="5" t="s">
        <v>606</v>
      </c>
      <c r="O225" s="5" t="s">
        <v>676</v>
      </c>
    </row>
    <row r="226" spans="1:17" ht="45" customHeight="1" x14ac:dyDescent="0.45">
      <c r="A226" s="5" t="s">
        <v>2025</v>
      </c>
      <c r="B226" s="5" t="s">
        <v>650</v>
      </c>
      <c r="C226" s="5" t="s">
        <v>1454</v>
      </c>
      <c r="D226" s="8" t="s">
        <v>679</v>
      </c>
      <c r="E226" s="9" t="s">
        <v>1453</v>
      </c>
      <c r="F226" s="5" t="s">
        <v>105</v>
      </c>
      <c r="G226" s="5" t="s">
        <v>1153</v>
      </c>
      <c r="H226" s="5" t="s">
        <v>908</v>
      </c>
      <c r="I226" s="5" t="s">
        <v>1586</v>
      </c>
      <c r="J226" s="5" t="s">
        <v>211</v>
      </c>
      <c r="K226" s="5" t="s">
        <v>602</v>
      </c>
      <c r="M226" s="5" t="s">
        <v>819</v>
      </c>
    </row>
    <row r="227" spans="1:17" ht="45" customHeight="1" x14ac:dyDescent="0.45">
      <c r="A227" s="5" t="s">
        <v>2026</v>
      </c>
      <c r="B227" s="5" t="s">
        <v>650</v>
      </c>
      <c r="C227" s="5" t="s">
        <v>678</v>
      </c>
      <c r="D227" s="8" t="s">
        <v>679</v>
      </c>
      <c r="E227" s="9" t="s">
        <v>677</v>
      </c>
      <c r="F227" s="5" t="s">
        <v>105</v>
      </c>
      <c r="G227" s="5" t="s">
        <v>217</v>
      </c>
      <c r="H227" s="5" t="s">
        <v>218</v>
      </c>
      <c r="I227" s="5" t="s">
        <v>651</v>
      </c>
      <c r="J227" s="5" t="s">
        <v>672</v>
      </c>
      <c r="K227" s="5" t="s">
        <v>602</v>
      </c>
    </row>
    <row r="228" spans="1:17" ht="45" customHeight="1" x14ac:dyDescent="0.45">
      <c r="A228" s="5" t="s">
        <v>2027</v>
      </c>
      <c r="B228" s="5" t="s">
        <v>650</v>
      </c>
      <c r="C228" s="5" t="s">
        <v>682</v>
      </c>
      <c r="D228" s="8" t="s">
        <v>331</v>
      </c>
      <c r="E228" s="9" t="s">
        <v>681</v>
      </c>
      <c r="F228" s="5" t="s">
        <v>105</v>
      </c>
      <c r="G228" s="5" t="s">
        <v>217</v>
      </c>
      <c r="H228" s="5" t="s">
        <v>218</v>
      </c>
      <c r="I228" s="5" t="s">
        <v>1586</v>
      </c>
      <c r="J228" s="5" t="s">
        <v>211</v>
      </c>
      <c r="K228" s="5" t="s">
        <v>606</v>
      </c>
      <c r="O228" s="5" t="s">
        <v>680</v>
      </c>
    </row>
    <row r="229" spans="1:17" ht="45" customHeight="1" x14ac:dyDescent="0.45">
      <c r="A229" s="5" t="s">
        <v>2028</v>
      </c>
      <c r="B229" s="5" t="s">
        <v>650</v>
      </c>
      <c r="C229" s="5" t="s">
        <v>1457</v>
      </c>
      <c r="D229" s="8" t="s">
        <v>1456</v>
      </c>
      <c r="E229" s="9" t="s">
        <v>1458</v>
      </c>
      <c r="F229" s="5" t="s">
        <v>105</v>
      </c>
      <c r="G229" s="5" t="s">
        <v>1455</v>
      </c>
      <c r="I229" s="5" t="s">
        <v>1586</v>
      </c>
      <c r="J229" s="5" t="s">
        <v>211</v>
      </c>
    </row>
    <row r="230" spans="1:17" ht="45" customHeight="1" x14ac:dyDescent="0.45">
      <c r="A230" s="5" t="s">
        <v>2029</v>
      </c>
      <c r="B230" s="5" t="s">
        <v>650</v>
      </c>
      <c r="C230" s="5" t="s">
        <v>684</v>
      </c>
      <c r="D230" s="8" t="s">
        <v>685</v>
      </c>
      <c r="E230" s="9" t="s">
        <v>683</v>
      </c>
      <c r="F230" s="5" t="s">
        <v>105</v>
      </c>
      <c r="G230" s="5" t="s">
        <v>217</v>
      </c>
      <c r="H230" s="5" t="s">
        <v>218</v>
      </c>
      <c r="I230" s="5" t="s">
        <v>179</v>
      </c>
      <c r="J230" s="5" t="s">
        <v>181</v>
      </c>
      <c r="K230" s="5" t="s">
        <v>181</v>
      </c>
    </row>
    <row r="231" spans="1:17" ht="45" customHeight="1" x14ac:dyDescent="0.45">
      <c r="A231" s="5" t="s">
        <v>2030</v>
      </c>
      <c r="B231" s="5" t="s">
        <v>650</v>
      </c>
      <c r="C231" s="5" t="s">
        <v>1459</v>
      </c>
      <c r="D231" s="8" t="s">
        <v>449</v>
      </c>
      <c r="E231" s="9" t="s">
        <v>1460</v>
      </c>
      <c r="F231" s="5" t="s">
        <v>105</v>
      </c>
      <c r="G231" s="5" t="s">
        <v>1446</v>
      </c>
      <c r="I231" s="5" t="s">
        <v>1586</v>
      </c>
      <c r="J231" s="5" t="s">
        <v>211</v>
      </c>
    </row>
    <row r="232" spans="1:17" ht="45" customHeight="1" x14ac:dyDescent="0.45">
      <c r="A232" s="5" t="s">
        <v>2031</v>
      </c>
      <c r="B232" s="5" t="s">
        <v>650</v>
      </c>
      <c r="C232" s="5" t="s">
        <v>687</v>
      </c>
      <c r="D232" s="8" t="s">
        <v>688</v>
      </c>
      <c r="E232" s="9" t="s">
        <v>686</v>
      </c>
      <c r="F232" s="5" t="s">
        <v>105</v>
      </c>
      <c r="G232" s="5" t="s">
        <v>217</v>
      </c>
      <c r="H232" s="5" t="s">
        <v>218</v>
      </c>
      <c r="I232" s="5" t="s">
        <v>231</v>
      </c>
      <c r="J232" s="5" t="s">
        <v>1150</v>
      </c>
      <c r="K232" s="5" t="s">
        <v>606</v>
      </c>
    </row>
    <row r="233" spans="1:17" ht="45" customHeight="1" x14ac:dyDescent="0.45">
      <c r="A233" s="5" t="s">
        <v>2032</v>
      </c>
      <c r="B233" s="5" t="s">
        <v>650</v>
      </c>
      <c r="C233" s="5" t="s">
        <v>1462</v>
      </c>
      <c r="D233" s="8" t="s">
        <v>1463</v>
      </c>
      <c r="E233" s="9" t="s">
        <v>1464</v>
      </c>
      <c r="F233" s="5" t="s">
        <v>105</v>
      </c>
      <c r="G233" s="5" t="s">
        <v>1461</v>
      </c>
      <c r="H233" s="5" t="s">
        <v>908</v>
      </c>
      <c r="I233" s="5" t="s">
        <v>662</v>
      </c>
      <c r="J233" s="5" t="s">
        <v>401</v>
      </c>
      <c r="K233" s="5" t="s">
        <v>602</v>
      </c>
      <c r="M233" s="5" t="s">
        <v>819</v>
      </c>
    </row>
    <row r="234" spans="1:17" ht="45" customHeight="1" x14ac:dyDescent="0.45">
      <c r="A234" s="5" t="s">
        <v>2033</v>
      </c>
      <c r="B234" s="5" t="s">
        <v>650</v>
      </c>
      <c r="C234" s="5" t="s">
        <v>465</v>
      </c>
      <c r="D234" s="8" t="s">
        <v>451</v>
      </c>
      <c r="E234" s="9" t="s">
        <v>690</v>
      </c>
      <c r="F234" s="5" t="s">
        <v>50</v>
      </c>
      <c r="G234" s="5" t="s">
        <v>179</v>
      </c>
      <c r="H234" s="5" t="s">
        <v>691</v>
      </c>
      <c r="I234" s="5" t="s">
        <v>217</v>
      </c>
      <c r="J234" s="5" t="s">
        <v>218</v>
      </c>
      <c r="K234" s="5" t="s">
        <v>606</v>
      </c>
      <c r="Q234" s="5" t="s">
        <v>689</v>
      </c>
    </row>
    <row r="235" spans="1:17" ht="45" customHeight="1" x14ac:dyDescent="0.45">
      <c r="A235" s="5" t="s">
        <v>2034</v>
      </c>
      <c r="B235" s="5" t="s">
        <v>650</v>
      </c>
      <c r="C235" s="5" t="s">
        <v>1465</v>
      </c>
      <c r="D235" s="8" t="s">
        <v>451</v>
      </c>
      <c r="E235" s="9" t="s">
        <v>1464</v>
      </c>
      <c r="F235" s="5" t="s">
        <v>105</v>
      </c>
      <c r="G235" s="5" t="s">
        <v>1461</v>
      </c>
      <c r="H235" s="5" t="s">
        <v>908</v>
      </c>
      <c r="I235" s="5" t="s">
        <v>1586</v>
      </c>
      <c r="J235" s="5" t="s">
        <v>211</v>
      </c>
      <c r="K235" s="5" t="s">
        <v>602</v>
      </c>
      <c r="M235" s="5" t="s">
        <v>819</v>
      </c>
    </row>
    <row r="236" spans="1:17" ht="45" customHeight="1" x14ac:dyDescent="0.45">
      <c r="A236" s="5" t="s">
        <v>2035</v>
      </c>
      <c r="B236" s="5" t="s">
        <v>650</v>
      </c>
      <c r="C236" s="5" t="s">
        <v>692</v>
      </c>
      <c r="D236" s="8" t="s">
        <v>693</v>
      </c>
      <c r="E236" s="9" t="s">
        <v>686</v>
      </c>
      <c r="F236" s="5" t="s">
        <v>105</v>
      </c>
      <c r="G236" s="5" t="s">
        <v>217</v>
      </c>
      <c r="H236" s="5" t="s">
        <v>218</v>
      </c>
      <c r="I236" s="5" t="s">
        <v>1586</v>
      </c>
      <c r="J236" s="5" t="s">
        <v>211</v>
      </c>
      <c r="K236" s="5" t="s">
        <v>606</v>
      </c>
    </row>
    <row r="237" spans="1:17" ht="45" customHeight="1" x14ac:dyDescent="0.45">
      <c r="A237" s="5" t="s">
        <v>2036</v>
      </c>
      <c r="B237" s="5" t="s">
        <v>650</v>
      </c>
      <c r="C237" s="5" t="s">
        <v>1466</v>
      </c>
      <c r="D237" s="8" t="s">
        <v>693</v>
      </c>
      <c r="E237" s="9" t="s">
        <v>1464</v>
      </c>
      <c r="F237" s="5" t="s">
        <v>105</v>
      </c>
      <c r="G237" s="5" t="s">
        <v>1461</v>
      </c>
      <c r="H237" s="5" t="s">
        <v>908</v>
      </c>
      <c r="I237" s="5" t="s">
        <v>231</v>
      </c>
      <c r="J237" s="5" t="s">
        <v>232</v>
      </c>
      <c r="K237" s="5" t="s">
        <v>602</v>
      </c>
      <c r="M237" s="5" t="s">
        <v>819</v>
      </c>
    </row>
    <row r="238" spans="1:17" ht="45" customHeight="1" x14ac:dyDescent="0.45">
      <c r="A238" s="5" t="s">
        <v>2037</v>
      </c>
      <c r="B238" s="5" t="s">
        <v>650</v>
      </c>
      <c r="C238" s="5" t="s">
        <v>1361</v>
      </c>
      <c r="D238" s="8" t="s">
        <v>198</v>
      </c>
      <c r="E238" s="9" t="s">
        <v>1362</v>
      </c>
      <c r="F238" s="5" t="s">
        <v>105</v>
      </c>
      <c r="G238" s="5" t="s">
        <v>1139</v>
      </c>
      <c r="H238" s="5" t="s">
        <v>847</v>
      </c>
      <c r="I238" s="5" t="s">
        <v>1586</v>
      </c>
      <c r="J238" s="5" t="s">
        <v>211</v>
      </c>
      <c r="K238" s="5" t="s">
        <v>603</v>
      </c>
      <c r="O238" s="5" t="s">
        <v>1363</v>
      </c>
      <c r="P238" s="5" t="s">
        <v>1364</v>
      </c>
    </row>
    <row r="239" spans="1:17" ht="45" customHeight="1" x14ac:dyDescent="0.45">
      <c r="A239" s="5" t="s">
        <v>2038</v>
      </c>
      <c r="B239" s="5" t="s">
        <v>650</v>
      </c>
      <c r="C239" s="5" t="s">
        <v>180</v>
      </c>
      <c r="D239" s="8" t="s">
        <v>694</v>
      </c>
      <c r="E239" s="9" t="s">
        <v>695</v>
      </c>
      <c r="F239" s="5" t="s">
        <v>105</v>
      </c>
      <c r="G239" s="5" t="s">
        <v>217</v>
      </c>
      <c r="H239" s="5" t="s">
        <v>218</v>
      </c>
      <c r="I239" s="5" t="s">
        <v>662</v>
      </c>
      <c r="J239" s="5" t="s">
        <v>401</v>
      </c>
      <c r="K239" s="5" t="s">
        <v>606</v>
      </c>
    </row>
    <row r="240" spans="1:17" ht="45" customHeight="1" x14ac:dyDescent="0.45">
      <c r="A240" s="5" t="s">
        <v>2039</v>
      </c>
      <c r="B240" s="5" t="s">
        <v>650</v>
      </c>
      <c r="C240" s="5" t="s">
        <v>1467</v>
      </c>
      <c r="D240" s="8" t="s">
        <v>454</v>
      </c>
      <c r="E240" s="9" t="s">
        <v>743</v>
      </c>
      <c r="F240" s="5" t="s">
        <v>105</v>
      </c>
      <c r="G240" s="5" t="s">
        <v>1179</v>
      </c>
      <c r="I240" s="5" t="s">
        <v>231</v>
      </c>
      <c r="J240" s="5" t="s">
        <v>232</v>
      </c>
    </row>
    <row r="241" spans="1:17" ht="45" customHeight="1" x14ac:dyDescent="0.45">
      <c r="A241" s="5" t="s">
        <v>2040</v>
      </c>
      <c r="B241" s="5" t="s">
        <v>650</v>
      </c>
      <c r="C241" s="5" t="s">
        <v>696</v>
      </c>
      <c r="D241" s="8" t="s">
        <v>697</v>
      </c>
      <c r="E241" s="9" t="s">
        <v>698</v>
      </c>
      <c r="F241" s="5" t="s">
        <v>105</v>
      </c>
      <c r="G241" s="5" t="s">
        <v>217</v>
      </c>
      <c r="H241" s="5" t="s">
        <v>218</v>
      </c>
      <c r="I241" s="5" t="s">
        <v>231</v>
      </c>
      <c r="J241" s="5" t="s">
        <v>1150</v>
      </c>
      <c r="K241" s="5" t="s">
        <v>606</v>
      </c>
    </row>
    <row r="242" spans="1:17" ht="45" customHeight="1" x14ac:dyDescent="0.45">
      <c r="A242" s="5" t="s">
        <v>2041</v>
      </c>
      <c r="B242" s="5" t="s">
        <v>650</v>
      </c>
      <c r="C242" s="5" t="s">
        <v>1471</v>
      </c>
      <c r="D242" s="8" t="s">
        <v>1472</v>
      </c>
      <c r="E242" s="9" t="s">
        <v>1470</v>
      </c>
      <c r="F242" s="5" t="s">
        <v>105</v>
      </c>
      <c r="G242" s="5" t="s">
        <v>1461</v>
      </c>
      <c r="H242" s="5" t="s">
        <v>908</v>
      </c>
      <c r="I242" s="5" t="s">
        <v>1468</v>
      </c>
      <c r="J242" s="5" t="s">
        <v>1469</v>
      </c>
      <c r="K242" s="5" t="s">
        <v>602</v>
      </c>
      <c r="M242" s="5" t="s">
        <v>819</v>
      </c>
    </row>
    <row r="243" spans="1:17" ht="45" customHeight="1" x14ac:dyDescent="0.45">
      <c r="A243" s="5" t="s">
        <v>2042</v>
      </c>
      <c r="B243" s="5" t="s">
        <v>650</v>
      </c>
      <c r="C243" s="5" t="s">
        <v>699</v>
      </c>
      <c r="D243" s="8" t="s">
        <v>700</v>
      </c>
      <c r="E243" s="9" t="s">
        <v>701</v>
      </c>
      <c r="F243" s="5" t="s">
        <v>105</v>
      </c>
      <c r="G243" s="5" t="s">
        <v>217</v>
      </c>
      <c r="H243" s="5" t="s">
        <v>218</v>
      </c>
      <c r="I243" s="5" t="s">
        <v>1586</v>
      </c>
      <c r="J243" s="5" t="s">
        <v>211</v>
      </c>
      <c r="K243" s="5" t="s">
        <v>606</v>
      </c>
    </row>
    <row r="244" spans="1:17" ht="45" customHeight="1" x14ac:dyDescent="0.45">
      <c r="A244" s="5" t="s">
        <v>2043</v>
      </c>
      <c r="B244" s="5" t="s">
        <v>650</v>
      </c>
      <c r="C244" s="5" t="s">
        <v>1473</v>
      </c>
      <c r="D244" s="8" t="s">
        <v>457</v>
      </c>
      <c r="E244" s="9" t="s">
        <v>1470</v>
      </c>
      <c r="F244" s="5" t="s">
        <v>105</v>
      </c>
      <c r="G244" s="5" t="s">
        <v>1461</v>
      </c>
      <c r="H244" s="5" t="s">
        <v>908</v>
      </c>
      <c r="I244" s="5" t="s">
        <v>1586</v>
      </c>
      <c r="J244" s="5" t="s">
        <v>211</v>
      </c>
      <c r="K244" s="5" t="s">
        <v>602</v>
      </c>
      <c r="M244" s="5" t="s">
        <v>819</v>
      </c>
    </row>
    <row r="245" spans="1:17" ht="45" customHeight="1" x14ac:dyDescent="0.45">
      <c r="A245" s="5" t="s">
        <v>2044</v>
      </c>
      <c r="B245" s="5" t="s">
        <v>650</v>
      </c>
      <c r="C245" s="5" t="s">
        <v>703</v>
      </c>
      <c r="D245" s="8" t="s">
        <v>460</v>
      </c>
      <c r="E245" s="9" t="s">
        <v>702</v>
      </c>
      <c r="F245" s="5" t="s">
        <v>105</v>
      </c>
      <c r="G245" s="5" t="s">
        <v>217</v>
      </c>
      <c r="H245" s="5" t="s">
        <v>218</v>
      </c>
      <c r="I245" s="5" t="s">
        <v>1586</v>
      </c>
      <c r="J245" s="5" t="s">
        <v>211</v>
      </c>
      <c r="K245" s="5" t="s">
        <v>606</v>
      </c>
    </row>
    <row r="246" spans="1:17" ht="45" customHeight="1" x14ac:dyDescent="0.45">
      <c r="A246" s="5" t="s">
        <v>2045</v>
      </c>
      <c r="B246" s="5" t="s">
        <v>650</v>
      </c>
      <c r="C246" s="5" t="s">
        <v>1474</v>
      </c>
      <c r="D246" s="8" t="s">
        <v>460</v>
      </c>
      <c r="E246" s="9" t="s">
        <v>1470</v>
      </c>
      <c r="F246" s="5" t="s">
        <v>105</v>
      </c>
      <c r="G246" s="5" t="s">
        <v>1461</v>
      </c>
      <c r="H246" s="5" t="s">
        <v>908</v>
      </c>
      <c r="I246" s="5" t="s">
        <v>1468</v>
      </c>
      <c r="J246" s="5" t="s">
        <v>1469</v>
      </c>
      <c r="K246" s="5" t="s">
        <v>602</v>
      </c>
      <c r="M246" s="5" t="s">
        <v>819</v>
      </c>
    </row>
    <row r="247" spans="1:17" ht="45" customHeight="1" x14ac:dyDescent="0.45">
      <c r="A247" s="5" t="s">
        <v>2046</v>
      </c>
      <c r="B247" s="5" t="s">
        <v>650</v>
      </c>
      <c r="C247" s="5" t="s">
        <v>704</v>
      </c>
      <c r="D247" s="8" t="s">
        <v>461</v>
      </c>
      <c r="E247" s="9" t="s">
        <v>705</v>
      </c>
      <c r="F247" s="5" t="s">
        <v>105</v>
      </c>
      <c r="G247" s="5" t="s">
        <v>217</v>
      </c>
      <c r="H247" s="5" t="s">
        <v>218</v>
      </c>
      <c r="I247" s="5" t="s">
        <v>1586</v>
      </c>
      <c r="J247" s="5" t="s">
        <v>211</v>
      </c>
      <c r="K247" s="5" t="s">
        <v>606</v>
      </c>
    </row>
    <row r="248" spans="1:17" ht="45" customHeight="1" x14ac:dyDescent="0.45">
      <c r="A248" s="5" t="s">
        <v>2047</v>
      </c>
      <c r="B248" s="5" t="s">
        <v>650</v>
      </c>
      <c r="C248" s="5" t="s">
        <v>1475</v>
      </c>
      <c r="D248" s="8" t="s">
        <v>461</v>
      </c>
      <c r="E248" s="9" t="s">
        <v>1470</v>
      </c>
      <c r="F248" s="5" t="s">
        <v>105</v>
      </c>
      <c r="G248" s="5" t="s">
        <v>1461</v>
      </c>
      <c r="H248" s="5" t="s">
        <v>908</v>
      </c>
      <c r="I248" s="5" t="s">
        <v>1468</v>
      </c>
      <c r="J248" s="5" t="s">
        <v>1469</v>
      </c>
      <c r="K248" s="5" t="s">
        <v>602</v>
      </c>
      <c r="M248" s="5" t="s">
        <v>819</v>
      </c>
    </row>
    <row r="249" spans="1:17" ht="45" customHeight="1" x14ac:dyDescent="0.45">
      <c r="A249" s="5" t="s">
        <v>2048</v>
      </c>
      <c r="B249" s="5" t="s">
        <v>650</v>
      </c>
      <c r="C249" s="5" t="s">
        <v>1476</v>
      </c>
      <c r="D249" s="8" t="s">
        <v>1477</v>
      </c>
      <c r="E249" s="9" t="s">
        <v>1470</v>
      </c>
      <c r="F249" s="5" t="s">
        <v>105</v>
      </c>
      <c r="G249" s="5" t="s">
        <v>1461</v>
      </c>
      <c r="H249" s="5" t="s">
        <v>908</v>
      </c>
      <c r="I249" s="5" t="s">
        <v>231</v>
      </c>
      <c r="J249" s="5" t="s">
        <v>232</v>
      </c>
      <c r="K249" s="5" t="s">
        <v>602</v>
      </c>
      <c r="M249" s="5" t="s">
        <v>819</v>
      </c>
    </row>
    <row r="250" spans="1:17" ht="45" customHeight="1" x14ac:dyDescent="0.45">
      <c r="A250" s="5" t="s">
        <v>2049</v>
      </c>
      <c r="B250" s="5" t="s">
        <v>650</v>
      </c>
      <c r="C250" s="5" t="s">
        <v>1478</v>
      </c>
      <c r="D250" s="8" t="s">
        <v>1479</v>
      </c>
      <c r="E250" s="9" t="s">
        <v>1470</v>
      </c>
      <c r="F250" s="5" t="s">
        <v>105</v>
      </c>
      <c r="G250" s="5" t="s">
        <v>1461</v>
      </c>
      <c r="H250" s="5" t="s">
        <v>908</v>
      </c>
      <c r="I250" s="5" t="s">
        <v>1468</v>
      </c>
      <c r="J250" s="5" t="s">
        <v>1469</v>
      </c>
      <c r="K250" s="5" t="s">
        <v>602</v>
      </c>
      <c r="M250" s="5" t="s">
        <v>819</v>
      </c>
    </row>
    <row r="251" spans="1:17" ht="45" customHeight="1" x14ac:dyDescent="0.45">
      <c r="A251" s="5" t="s">
        <v>2050</v>
      </c>
      <c r="B251" s="5" t="s">
        <v>650</v>
      </c>
      <c r="C251" s="5" t="s">
        <v>1366</v>
      </c>
      <c r="D251" s="8" t="s">
        <v>200</v>
      </c>
      <c r="E251" s="9" t="s">
        <v>1367</v>
      </c>
      <c r="F251" s="5" t="s">
        <v>105</v>
      </c>
      <c r="G251" s="5" t="s">
        <v>1160</v>
      </c>
      <c r="H251" s="5" t="s">
        <v>1164</v>
      </c>
      <c r="I251" s="5" t="s">
        <v>1586</v>
      </c>
      <c r="J251" s="5" t="s">
        <v>211</v>
      </c>
      <c r="K251" s="5" t="s">
        <v>603</v>
      </c>
      <c r="Q251" s="5" t="s">
        <v>1365</v>
      </c>
    </row>
    <row r="252" spans="1:17" ht="45" customHeight="1" x14ac:dyDescent="0.45">
      <c r="A252" s="5" t="s">
        <v>2051</v>
      </c>
      <c r="B252" s="5" t="s">
        <v>650</v>
      </c>
      <c r="C252" s="5" t="s">
        <v>653</v>
      </c>
      <c r="D252" s="8" t="s">
        <v>200</v>
      </c>
      <c r="E252" s="9" t="s">
        <v>654</v>
      </c>
      <c r="F252" s="5" t="s">
        <v>105</v>
      </c>
      <c r="G252" s="5" t="s">
        <v>217</v>
      </c>
      <c r="H252" s="5" t="s">
        <v>218</v>
      </c>
      <c r="I252" s="5" t="s">
        <v>1586</v>
      </c>
      <c r="J252" s="5" t="s">
        <v>211</v>
      </c>
      <c r="K252" s="5" t="s">
        <v>606</v>
      </c>
    </row>
    <row r="253" spans="1:17" ht="45" customHeight="1" x14ac:dyDescent="0.45">
      <c r="A253" s="5" t="s">
        <v>2052</v>
      </c>
      <c r="B253" s="5" t="s">
        <v>650</v>
      </c>
      <c r="C253" s="5" t="s">
        <v>1481</v>
      </c>
      <c r="D253" s="8" t="s">
        <v>466</v>
      </c>
      <c r="E253" s="9" t="s">
        <v>1482</v>
      </c>
      <c r="F253" s="5" t="s">
        <v>105</v>
      </c>
      <c r="G253" s="5" t="s">
        <v>1480</v>
      </c>
      <c r="H253" s="5" t="s">
        <v>599</v>
      </c>
      <c r="I253" s="5" t="s">
        <v>231</v>
      </c>
      <c r="J253" s="5" t="s">
        <v>232</v>
      </c>
      <c r="K253" s="5" t="s">
        <v>602</v>
      </c>
      <c r="M253" s="5" t="s">
        <v>819</v>
      </c>
    </row>
    <row r="254" spans="1:17" ht="45" customHeight="1" x14ac:dyDescent="0.45">
      <c r="A254" s="5" t="s">
        <v>2053</v>
      </c>
      <c r="B254" s="5" t="s">
        <v>650</v>
      </c>
      <c r="C254" s="5" t="s">
        <v>1484</v>
      </c>
      <c r="D254" s="8" t="s">
        <v>1485</v>
      </c>
      <c r="E254" s="9" t="s">
        <v>1483</v>
      </c>
      <c r="F254" s="5" t="s">
        <v>105</v>
      </c>
      <c r="G254" s="5" t="s">
        <v>245</v>
      </c>
      <c r="I254" s="5" t="s">
        <v>1586</v>
      </c>
      <c r="J254" s="5" t="s">
        <v>211</v>
      </c>
    </row>
    <row r="255" spans="1:17" ht="45" customHeight="1" x14ac:dyDescent="0.45">
      <c r="A255" s="5" t="s">
        <v>2054</v>
      </c>
      <c r="B255" s="5" t="s">
        <v>650</v>
      </c>
      <c r="C255" s="5" t="s">
        <v>1486</v>
      </c>
      <c r="D255" s="8" t="s">
        <v>1487</v>
      </c>
      <c r="E255" s="9" t="s">
        <v>1489</v>
      </c>
      <c r="F255" s="5" t="s">
        <v>105</v>
      </c>
      <c r="G255" s="5" t="s">
        <v>1488</v>
      </c>
      <c r="I255" s="5" t="s">
        <v>231</v>
      </c>
      <c r="J255" s="5" t="s">
        <v>232</v>
      </c>
    </row>
    <row r="256" spans="1:17" ht="45" customHeight="1" x14ac:dyDescent="0.45">
      <c r="A256" s="5" t="s">
        <v>2055</v>
      </c>
      <c r="B256" s="5" t="s">
        <v>650</v>
      </c>
      <c r="C256" s="5" t="s">
        <v>1490</v>
      </c>
      <c r="D256" s="8" t="s">
        <v>1491</v>
      </c>
      <c r="E256" s="9" t="s">
        <v>1489</v>
      </c>
      <c r="F256" s="5" t="s">
        <v>105</v>
      </c>
      <c r="G256" s="5" t="s">
        <v>1488</v>
      </c>
      <c r="I256" s="5" t="s">
        <v>1586</v>
      </c>
      <c r="J256" s="5" t="s">
        <v>211</v>
      </c>
    </row>
    <row r="257" spans="1:17" ht="45" customHeight="1" x14ac:dyDescent="0.45">
      <c r="A257" s="5" t="s">
        <v>2056</v>
      </c>
      <c r="B257" s="5" t="s">
        <v>650</v>
      </c>
      <c r="C257" s="5" t="s">
        <v>1492</v>
      </c>
      <c r="D257" s="8" t="s">
        <v>1493</v>
      </c>
      <c r="E257" s="9" t="s">
        <v>1494</v>
      </c>
      <c r="F257" s="5" t="s">
        <v>105</v>
      </c>
      <c r="G257" s="5" t="s">
        <v>1495</v>
      </c>
      <c r="H257" s="5" t="s">
        <v>908</v>
      </c>
      <c r="I257" s="5" t="s">
        <v>231</v>
      </c>
      <c r="J257" s="5" t="s">
        <v>232</v>
      </c>
      <c r="K257" s="5" t="s">
        <v>602</v>
      </c>
      <c r="M257" s="5" t="s">
        <v>819</v>
      </c>
    </row>
    <row r="258" spans="1:17" ht="45" customHeight="1" x14ac:dyDescent="0.45">
      <c r="A258" s="5" t="s">
        <v>2057</v>
      </c>
      <c r="B258" s="5" t="s">
        <v>650</v>
      </c>
      <c r="C258" s="5" t="s">
        <v>1496</v>
      </c>
      <c r="D258" s="8" t="s">
        <v>470</v>
      </c>
      <c r="E258" s="9" t="s">
        <v>1497</v>
      </c>
      <c r="F258" s="5" t="s">
        <v>105</v>
      </c>
      <c r="G258" s="5" t="s">
        <v>1445</v>
      </c>
      <c r="I258" s="5" t="s">
        <v>231</v>
      </c>
      <c r="J258" s="5" t="s">
        <v>232</v>
      </c>
    </row>
    <row r="259" spans="1:17" ht="45" customHeight="1" x14ac:dyDescent="0.45">
      <c r="A259" s="5" t="s">
        <v>2058</v>
      </c>
      <c r="B259" s="5" t="s">
        <v>650</v>
      </c>
      <c r="C259" s="5" t="s">
        <v>1499</v>
      </c>
      <c r="D259" s="8" t="s">
        <v>1500</v>
      </c>
      <c r="E259" s="9" t="s">
        <v>1501</v>
      </c>
      <c r="F259" s="5" t="s">
        <v>105</v>
      </c>
      <c r="G259" s="5" t="s">
        <v>1498</v>
      </c>
      <c r="I259" s="5" t="s">
        <v>231</v>
      </c>
      <c r="J259" s="5" t="s">
        <v>232</v>
      </c>
    </row>
    <row r="260" spans="1:17" ht="45" customHeight="1" x14ac:dyDescent="0.45">
      <c r="A260" s="5" t="s">
        <v>2059</v>
      </c>
      <c r="B260" s="5" t="s">
        <v>650</v>
      </c>
      <c r="C260" s="5" t="s">
        <v>1503</v>
      </c>
      <c r="D260" s="8" t="s">
        <v>1504</v>
      </c>
      <c r="E260" s="9" t="s">
        <v>1502</v>
      </c>
      <c r="F260" s="5" t="s">
        <v>105</v>
      </c>
      <c r="G260" s="5" t="s">
        <v>1033</v>
      </c>
      <c r="I260" s="5" t="s">
        <v>231</v>
      </c>
      <c r="J260" s="5" t="s">
        <v>232</v>
      </c>
    </row>
    <row r="261" spans="1:17" ht="45" customHeight="1" x14ac:dyDescent="0.45">
      <c r="A261" s="5" t="s">
        <v>2060</v>
      </c>
      <c r="B261" s="5" t="s">
        <v>650</v>
      </c>
      <c r="C261" s="5" t="s">
        <v>706</v>
      </c>
      <c r="D261" s="8" t="s">
        <v>707</v>
      </c>
      <c r="E261" s="9" t="s">
        <v>708</v>
      </c>
      <c r="F261" s="5" t="s">
        <v>105</v>
      </c>
      <c r="G261" s="5" t="s">
        <v>217</v>
      </c>
      <c r="H261" s="5" t="s">
        <v>218</v>
      </c>
      <c r="I261" s="5" t="s">
        <v>1586</v>
      </c>
      <c r="J261" s="5" t="s">
        <v>211</v>
      </c>
      <c r="K261" s="5" t="s">
        <v>606</v>
      </c>
    </row>
    <row r="262" spans="1:17" ht="45" customHeight="1" x14ac:dyDescent="0.45">
      <c r="A262" s="5" t="s">
        <v>2061</v>
      </c>
      <c r="B262" s="5" t="s">
        <v>650</v>
      </c>
      <c r="C262" s="5" t="s">
        <v>1508</v>
      </c>
      <c r="D262" s="8" t="s">
        <v>1509</v>
      </c>
      <c r="E262" s="9" t="s">
        <v>1505</v>
      </c>
      <c r="F262" s="5" t="s">
        <v>105</v>
      </c>
      <c r="G262" s="5" t="s">
        <v>1506</v>
      </c>
      <c r="H262" s="5" t="s">
        <v>1507</v>
      </c>
      <c r="I262" s="5" t="s">
        <v>231</v>
      </c>
      <c r="J262" s="5" t="s">
        <v>232</v>
      </c>
    </row>
    <row r="263" spans="1:17" ht="45" customHeight="1" x14ac:dyDescent="0.45">
      <c r="A263" s="5" t="s">
        <v>2062</v>
      </c>
      <c r="B263" s="5" t="s">
        <v>650</v>
      </c>
      <c r="C263" s="5" t="s">
        <v>709</v>
      </c>
      <c r="D263" s="8" t="s">
        <v>710</v>
      </c>
      <c r="E263" s="9" t="s">
        <v>708</v>
      </c>
      <c r="F263" s="5" t="s">
        <v>105</v>
      </c>
      <c r="G263" s="5" t="s">
        <v>217</v>
      </c>
      <c r="H263" s="5" t="s">
        <v>218</v>
      </c>
      <c r="I263" s="5" t="s">
        <v>179</v>
      </c>
      <c r="J263" s="5" t="s">
        <v>552</v>
      </c>
      <c r="K263" s="5" t="s">
        <v>602</v>
      </c>
      <c r="Q263" s="5" t="s">
        <v>711</v>
      </c>
    </row>
    <row r="264" spans="1:17" ht="45" customHeight="1" x14ac:dyDescent="0.45">
      <c r="A264" s="5" t="s">
        <v>2063</v>
      </c>
      <c r="B264" s="5" t="s">
        <v>650</v>
      </c>
      <c r="C264" s="5" t="s">
        <v>1368</v>
      </c>
      <c r="D264" s="8" t="s">
        <v>252</v>
      </c>
      <c r="E264" s="9" t="s">
        <v>1370</v>
      </c>
      <c r="F264" s="5" t="s">
        <v>105</v>
      </c>
      <c r="G264" s="5" t="s">
        <v>1369</v>
      </c>
      <c r="H264" s="5" t="s">
        <v>1349</v>
      </c>
      <c r="I264" s="5" t="s">
        <v>1586</v>
      </c>
      <c r="J264" s="5" t="s">
        <v>211</v>
      </c>
    </row>
    <row r="265" spans="1:17" ht="45" customHeight="1" x14ac:dyDescent="0.45">
      <c r="A265" s="5" t="s">
        <v>2064</v>
      </c>
      <c r="B265" s="5" t="s">
        <v>650</v>
      </c>
      <c r="C265" s="5" t="s">
        <v>489</v>
      </c>
      <c r="D265" s="8" t="s">
        <v>252</v>
      </c>
      <c r="E265" s="9" t="s">
        <v>655</v>
      </c>
      <c r="F265" s="5" t="s">
        <v>105</v>
      </c>
      <c r="G265" s="5" t="s">
        <v>217</v>
      </c>
      <c r="H265" s="5" t="s">
        <v>218</v>
      </c>
      <c r="I265" s="5" t="s">
        <v>1586</v>
      </c>
      <c r="J265" s="5" t="s">
        <v>211</v>
      </c>
      <c r="K265" s="5" t="s">
        <v>606</v>
      </c>
    </row>
    <row r="266" spans="1:17" ht="45" customHeight="1" x14ac:dyDescent="0.45">
      <c r="A266" s="5" t="s">
        <v>2065</v>
      </c>
      <c r="B266" s="5" t="s">
        <v>650</v>
      </c>
      <c r="C266" s="5" t="s">
        <v>712</v>
      </c>
      <c r="D266" s="8" t="s">
        <v>713</v>
      </c>
      <c r="E266" s="9" t="s">
        <v>714</v>
      </c>
      <c r="F266" s="5" t="s">
        <v>105</v>
      </c>
      <c r="G266" s="5" t="s">
        <v>217</v>
      </c>
      <c r="H266" s="5" t="s">
        <v>218</v>
      </c>
      <c r="I266" s="5" t="s">
        <v>662</v>
      </c>
      <c r="J266" s="5" t="s">
        <v>401</v>
      </c>
      <c r="K266" s="5" t="s">
        <v>606</v>
      </c>
    </row>
    <row r="267" spans="1:17" ht="45" customHeight="1" x14ac:dyDescent="0.45">
      <c r="A267" s="5" t="s">
        <v>2066</v>
      </c>
      <c r="B267" s="5" t="s">
        <v>650</v>
      </c>
      <c r="C267" s="5" t="s">
        <v>1510</v>
      </c>
      <c r="D267" s="8" t="s">
        <v>713</v>
      </c>
      <c r="E267" s="9" t="s">
        <v>1511</v>
      </c>
      <c r="F267" s="5" t="s">
        <v>105</v>
      </c>
      <c r="G267" s="5" t="s">
        <v>1506</v>
      </c>
      <c r="H267" s="5" t="s">
        <v>1507</v>
      </c>
      <c r="I267" s="5" t="s">
        <v>1586</v>
      </c>
      <c r="J267" s="5" t="s">
        <v>211</v>
      </c>
    </row>
    <row r="268" spans="1:17" ht="45" customHeight="1" x14ac:dyDescent="0.45">
      <c r="A268" s="5" t="s">
        <v>2067</v>
      </c>
      <c r="B268" s="5" t="s">
        <v>650</v>
      </c>
      <c r="C268" s="5" t="s">
        <v>715</v>
      </c>
      <c r="D268" s="8" t="s">
        <v>477</v>
      </c>
      <c r="E268" s="9" t="s">
        <v>716</v>
      </c>
      <c r="F268" s="5" t="s">
        <v>105</v>
      </c>
      <c r="G268" s="5" t="s">
        <v>217</v>
      </c>
      <c r="H268" s="5" t="s">
        <v>218</v>
      </c>
      <c r="I268" s="5" t="s">
        <v>1586</v>
      </c>
      <c r="J268" s="5" t="s">
        <v>211</v>
      </c>
      <c r="K268" s="5" t="s">
        <v>606</v>
      </c>
    </row>
    <row r="269" spans="1:17" ht="45" customHeight="1" x14ac:dyDescent="0.45">
      <c r="A269" s="5" t="s">
        <v>2068</v>
      </c>
      <c r="B269" s="5" t="s">
        <v>650</v>
      </c>
      <c r="C269" s="5" t="s">
        <v>1512</v>
      </c>
      <c r="D269" s="8" t="s">
        <v>477</v>
      </c>
      <c r="E269" s="9" t="s">
        <v>1513</v>
      </c>
      <c r="F269" s="5" t="s">
        <v>105</v>
      </c>
      <c r="G269" s="5" t="s">
        <v>870</v>
      </c>
      <c r="I269" s="5" t="s">
        <v>1586</v>
      </c>
      <c r="J269" s="5" t="s">
        <v>211</v>
      </c>
    </row>
    <row r="270" spans="1:17" ht="45" customHeight="1" x14ac:dyDescent="0.45">
      <c r="A270" s="5" t="s">
        <v>2069</v>
      </c>
      <c r="B270" s="5" t="s">
        <v>650</v>
      </c>
      <c r="C270" s="5" t="s">
        <v>717</v>
      </c>
      <c r="D270" s="8" t="s">
        <v>718</v>
      </c>
      <c r="E270" s="9" t="s">
        <v>719</v>
      </c>
      <c r="F270" s="5" t="s">
        <v>105</v>
      </c>
      <c r="G270" s="5" t="s">
        <v>217</v>
      </c>
      <c r="H270" s="5" t="s">
        <v>218</v>
      </c>
      <c r="I270" s="5" t="s">
        <v>1586</v>
      </c>
      <c r="J270" s="5" t="s">
        <v>211</v>
      </c>
      <c r="K270" s="5" t="s">
        <v>606</v>
      </c>
    </row>
    <row r="271" spans="1:17" ht="45" customHeight="1" x14ac:dyDescent="0.45">
      <c r="A271" s="5" t="s">
        <v>2070</v>
      </c>
      <c r="B271" s="5" t="s">
        <v>650</v>
      </c>
      <c r="C271" s="5" t="s">
        <v>1515</v>
      </c>
      <c r="D271" s="8" t="s">
        <v>718</v>
      </c>
      <c r="E271" s="9" t="s">
        <v>1514</v>
      </c>
      <c r="F271" s="5" t="s">
        <v>105</v>
      </c>
      <c r="G271" s="5" t="s">
        <v>1516</v>
      </c>
      <c r="I271" s="5" t="s">
        <v>231</v>
      </c>
      <c r="J271" s="5" t="s">
        <v>232</v>
      </c>
    </row>
    <row r="272" spans="1:17" ht="45" customHeight="1" x14ac:dyDescent="0.45">
      <c r="A272" s="5" t="s">
        <v>2071</v>
      </c>
      <c r="B272" s="5" t="s">
        <v>650</v>
      </c>
      <c r="C272" s="5" t="s">
        <v>720</v>
      </c>
      <c r="D272" s="8" t="s">
        <v>721</v>
      </c>
      <c r="E272" s="9" t="s">
        <v>714</v>
      </c>
      <c r="F272" s="5" t="s">
        <v>105</v>
      </c>
      <c r="G272" s="5" t="s">
        <v>217</v>
      </c>
      <c r="H272" s="5" t="s">
        <v>218</v>
      </c>
      <c r="I272" s="5" t="s">
        <v>1586</v>
      </c>
      <c r="J272" s="5" t="s">
        <v>211</v>
      </c>
      <c r="K272" s="5" t="s">
        <v>606</v>
      </c>
    </row>
    <row r="273" spans="1:14" ht="45" customHeight="1" x14ac:dyDescent="0.45">
      <c r="A273" s="5" t="s">
        <v>2072</v>
      </c>
      <c r="B273" s="5" t="s">
        <v>650</v>
      </c>
      <c r="C273" s="5" t="s">
        <v>1518</v>
      </c>
      <c r="D273" s="8" t="s">
        <v>721</v>
      </c>
      <c r="E273" s="9" t="s">
        <v>1519</v>
      </c>
      <c r="F273" s="5" t="s">
        <v>105</v>
      </c>
      <c r="G273" s="5" t="s">
        <v>1517</v>
      </c>
      <c r="H273" s="5" t="s">
        <v>1469</v>
      </c>
      <c r="I273" s="5" t="s">
        <v>231</v>
      </c>
      <c r="J273" s="5" t="s">
        <v>232</v>
      </c>
      <c r="K273" s="5" t="s">
        <v>606</v>
      </c>
    </row>
    <row r="274" spans="1:14" ht="45" customHeight="1" x14ac:dyDescent="0.45">
      <c r="A274" s="5" t="s">
        <v>2073</v>
      </c>
      <c r="B274" s="5" t="s">
        <v>650</v>
      </c>
      <c r="C274" s="5" t="s">
        <v>723</v>
      </c>
      <c r="D274" s="8" t="s">
        <v>724</v>
      </c>
      <c r="E274" s="9" t="s">
        <v>722</v>
      </c>
      <c r="F274" s="5" t="s">
        <v>105</v>
      </c>
      <c r="G274" s="5" t="s">
        <v>217</v>
      </c>
      <c r="H274" s="5" t="s">
        <v>218</v>
      </c>
      <c r="I274" s="5" t="s">
        <v>1586</v>
      </c>
      <c r="J274" s="5" t="s">
        <v>211</v>
      </c>
      <c r="K274" s="5" t="s">
        <v>606</v>
      </c>
    </row>
    <row r="275" spans="1:14" ht="45" customHeight="1" x14ac:dyDescent="0.45">
      <c r="A275" s="5" t="s">
        <v>2074</v>
      </c>
      <c r="B275" s="5" t="s">
        <v>650</v>
      </c>
      <c r="C275" s="5" t="s">
        <v>1520</v>
      </c>
      <c r="D275" s="8" t="s">
        <v>724</v>
      </c>
      <c r="E275" s="9" t="s">
        <v>1521</v>
      </c>
      <c r="F275" s="5" t="s">
        <v>105</v>
      </c>
      <c r="G275" s="5" t="s">
        <v>870</v>
      </c>
      <c r="H275" s="5" t="s">
        <v>1522</v>
      </c>
      <c r="I275" s="5" t="s">
        <v>1586</v>
      </c>
      <c r="J275" s="5" t="s">
        <v>211</v>
      </c>
    </row>
    <row r="276" spans="1:14" ht="45" customHeight="1" x14ac:dyDescent="0.45">
      <c r="A276" s="5" t="s">
        <v>2075</v>
      </c>
      <c r="B276" s="5" t="s">
        <v>650</v>
      </c>
      <c r="C276" s="5" t="s">
        <v>1523</v>
      </c>
      <c r="D276" s="8" t="s">
        <v>1524</v>
      </c>
      <c r="E276" s="9" t="s">
        <v>1525</v>
      </c>
      <c r="F276" s="5" t="s">
        <v>105</v>
      </c>
      <c r="G276" s="5" t="s">
        <v>245</v>
      </c>
      <c r="I276" s="5" t="s">
        <v>231</v>
      </c>
      <c r="J276" s="5" t="s">
        <v>232</v>
      </c>
    </row>
    <row r="277" spans="1:14" ht="45" customHeight="1" x14ac:dyDescent="0.45">
      <c r="A277" s="5" t="s">
        <v>2076</v>
      </c>
      <c r="B277" s="5" t="s">
        <v>650</v>
      </c>
      <c r="C277" s="5" t="s">
        <v>727</v>
      </c>
      <c r="D277" s="8" t="s">
        <v>726</v>
      </c>
      <c r="E277" s="9" t="s">
        <v>725</v>
      </c>
      <c r="F277" s="5" t="s">
        <v>105</v>
      </c>
      <c r="G277" s="5" t="s">
        <v>217</v>
      </c>
      <c r="H277" s="5" t="s">
        <v>218</v>
      </c>
      <c r="I277" s="5" t="s">
        <v>231</v>
      </c>
      <c r="J277" s="5" t="s">
        <v>1150</v>
      </c>
      <c r="K277" s="5" t="s">
        <v>606</v>
      </c>
    </row>
    <row r="278" spans="1:14" ht="45" customHeight="1" x14ac:dyDescent="0.45">
      <c r="A278" s="5" t="s">
        <v>2077</v>
      </c>
      <c r="B278" s="5" t="s">
        <v>650</v>
      </c>
      <c r="C278" s="5" t="s">
        <v>1526</v>
      </c>
      <c r="D278" s="8" t="s">
        <v>556</v>
      </c>
      <c r="E278" s="9" t="s">
        <v>1527</v>
      </c>
      <c r="F278" s="5" t="s">
        <v>105</v>
      </c>
      <c r="G278" s="5" t="s">
        <v>1528</v>
      </c>
      <c r="H278" s="5" t="s">
        <v>1529</v>
      </c>
      <c r="I278" s="5" t="s">
        <v>231</v>
      </c>
      <c r="J278" s="5" t="s">
        <v>232</v>
      </c>
      <c r="K278" s="5" t="s">
        <v>603</v>
      </c>
    </row>
    <row r="279" spans="1:14" ht="45" customHeight="1" x14ac:dyDescent="0.45">
      <c r="A279" s="5" t="s">
        <v>2078</v>
      </c>
      <c r="B279" s="5" t="s">
        <v>650</v>
      </c>
      <c r="C279" s="5" t="s">
        <v>728</v>
      </c>
      <c r="D279" s="8" t="s">
        <v>617</v>
      </c>
      <c r="E279" s="9" t="s">
        <v>729</v>
      </c>
      <c r="F279" s="5" t="s">
        <v>105</v>
      </c>
      <c r="G279" s="5" t="s">
        <v>217</v>
      </c>
      <c r="H279" s="5" t="s">
        <v>218</v>
      </c>
      <c r="I279" s="5" t="s">
        <v>1586</v>
      </c>
      <c r="J279" s="5" t="s">
        <v>211</v>
      </c>
      <c r="K279" s="5" t="s">
        <v>606</v>
      </c>
    </row>
    <row r="280" spans="1:14" ht="45" customHeight="1" x14ac:dyDescent="0.45">
      <c r="A280" s="5" t="s">
        <v>2079</v>
      </c>
      <c r="B280" s="5" t="s">
        <v>650</v>
      </c>
      <c r="C280" s="5" t="s">
        <v>1530</v>
      </c>
      <c r="D280" s="8" t="s">
        <v>617</v>
      </c>
      <c r="E280" s="9" t="s">
        <v>1531</v>
      </c>
      <c r="F280" s="5" t="s">
        <v>1537</v>
      </c>
      <c r="G280" s="5" t="s">
        <v>245</v>
      </c>
      <c r="I280" s="5" t="s">
        <v>231</v>
      </c>
      <c r="J280" s="5" t="s">
        <v>232</v>
      </c>
      <c r="N280" s="5" t="s">
        <v>642</v>
      </c>
    </row>
    <row r="281" spans="1:14" ht="45" customHeight="1" x14ac:dyDescent="0.45">
      <c r="A281" s="5" t="s">
        <v>2080</v>
      </c>
      <c r="B281" s="5" t="s">
        <v>650</v>
      </c>
      <c r="C281" s="5" t="s">
        <v>1533</v>
      </c>
      <c r="D281" s="8" t="s">
        <v>485</v>
      </c>
      <c r="E281" s="9" t="s">
        <v>1534</v>
      </c>
      <c r="F281" s="5" t="s">
        <v>1538</v>
      </c>
      <c r="G281" s="5" t="s">
        <v>1532</v>
      </c>
      <c r="I281" s="5" t="s">
        <v>231</v>
      </c>
      <c r="J281" s="5" t="s">
        <v>232</v>
      </c>
    </row>
    <row r="282" spans="1:14" ht="45" customHeight="1" x14ac:dyDescent="0.45">
      <c r="A282" s="5" t="s">
        <v>2081</v>
      </c>
      <c r="B282" s="5" t="s">
        <v>650</v>
      </c>
      <c r="C282" s="5" t="s">
        <v>1535</v>
      </c>
      <c r="D282" s="8" t="s">
        <v>618</v>
      </c>
      <c r="E282" s="9" t="s">
        <v>1539</v>
      </c>
      <c r="F282" s="5" t="s">
        <v>181</v>
      </c>
      <c r="G282" s="5" t="s">
        <v>1536</v>
      </c>
      <c r="I282" s="5" t="s">
        <v>231</v>
      </c>
      <c r="J282" s="5" t="s">
        <v>232</v>
      </c>
    </row>
    <row r="283" spans="1:14" ht="45" customHeight="1" x14ac:dyDescent="0.45">
      <c r="A283" s="5" t="s">
        <v>2082</v>
      </c>
      <c r="B283" s="5" t="s">
        <v>650</v>
      </c>
      <c r="C283" s="5" t="s">
        <v>1371</v>
      </c>
      <c r="D283" s="8" t="s">
        <v>579</v>
      </c>
      <c r="E283" s="9" t="s">
        <v>1373</v>
      </c>
      <c r="F283" s="5" t="s">
        <v>105</v>
      </c>
      <c r="G283" s="5" t="s">
        <v>1372</v>
      </c>
      <c r="I283" s="5" t="s">
        <v>1586</v>
      </c>
      <c r="J283" s="5" t="s">
        <v>211</v>
      </c>
    </row>
    <row r="284" spans="1:14" ht="45" customHeight="1" x14ac:dyDescent="0.45">
      <c r="A284" s="5" t="s">
        <v>2083</v>
      </c>
      <c r="B284" s="5" t="s">
        <v>650</v>
      </c>
      <c r="C284" s="5" t="s">
        <v>288</v>
      </c>
      <c r="D284" s="8" t="s">
        <v>579</v>
      </c>
      <c r="E284" s="9" t="s">
        <v>656</v>
      </c>
      <c r="F284" s="5" t="s">
        <v>105</v>
      </c>
      <c r="G284" s="5" t="s">
        <v>217</v>
      </c>
      <c r="H284" s="5" t="s">
        <v>218</v>
      </c>
      <c r="I284" s="5" t="s">
        <v>181</v>
      </c>
      <c r="J284" s="5" t="s">
        <v>181</v>
      </c>
      <c r="K284" s="5" t="s">
        <v>181</v>
      </c>
    </row>
    <row r="285" spans="1:14" ht="45" customHeight="1" x14ac:dyDescent="0.45">
      <c r="A285" s="5" t="s">
        <v>2084</v>
      </c>
      <c r="B285" s="5" t="s">
        <v>650</v>
      </c>
      <c r="C285" s="5" t="s">
        <v>1541</v>
      </c>
      <c r="D285" s="8" t="s">
        <v>1542</v>
      </c>
      <c r="E285" s="9" t="s">
        <v>1543</v>
      </c>
      <c r="F285" s="5" t="s">
        <v>105</v>
      </c>
      <c r="G285" s="5" t="s">
        <v>870</v>
      </c>
      <c r="H285" s="5" t="s">
        <v>1540</v>
      </c>
      <c r="I285" s="5" t="s">
        <v>231</v>
      </c>
      <c r="J285" s="5" t="s">
        <v>232</v>
      </c>
      <c r="K285" s="5" t="s">
        <v>602</v>
      </c>
    </row>
    <row r="286" spans="1:14" ht="45" customHeight="1" x14ac:dyDescent="0.45">
      <c r="A286" s="5" t="s">
        <v>2085</v>
      </c>
      <c r="B286" s="5" t="s">
        <v>650</v>
      </c>
      <c r="C286" s="5" t="s">
        <v>1544</v>
      </c>
      <c r="D286" s="8" t="s">
        <v>1545</v>
      </c>
      <c r="E286" s="9" t="s">
        <v>1546</v>
      </c>
      <c r="F286" s="5" t="s">
        <v>105</v>
      </c>
      <c r="G286" s="5" t="s">
        <v>245</v>
      </c>
      <c r="I286" s="5" t="s">
        <v>1586</v>
      </c>
      <c r="J286" s="5" t="s">
        <v>211</v>
      </c>
    </row>
    <row r="287" spans="1:14" ht="45" customHeight="1" x14ac:dyDescent="0.45">
      <c r="A287" s="5" t="s">
        <v>2086</v>
      </c>
      <c r="B287" s="5" t="s">
        <v>650</v>
      </c>
      <c r="C287" s="5" t="s">
        <v>1548</v>
      </c>
      <c r="D287" s="8" t="s">
        <v>1549</v>
      </c>
      <c r="E287" s="9" t="s">
        <v>1547</v>
      </c>
      <c r="F287" s="5" t="s">
        <v>105</v>
      </c>
      <c r="G287" s="5" t="s">
        <v>245</v>
      </c>
      <c r="I287" s="5" t="s">
        <v>231</v>
      </c>
      <c r="J287" s="5" t="s">
        <v>232</v>
      </c>
    </row>
    <row r="288" spans="1:14" ht="45" customHeight="1" x14ac:dyDescent="0.45">
      <c r="A288" s="5" t="s">
        <v>2087</v>
      </c>
      <c r="B288" s="5" t="s">
        <v>650</v>
      </c>
      <c r="C288" s="5" t="s">
        <v>1550</v>
      </c>
      <c r="D288" s="8" t="s">
        <v>1551</v>
      </c>
      <c r="E288" s="9" t="s">
        <v>1552</v>
      </c>
      <c r="F288" s="5" t="s">
        <v>105</v>
      </c>
      <c r="G288" s="5" t="s">
        <v>1495</v>
      </c>
      <c r="H288" s="5" t="s">
        <v>908</v>
      </c>
      <c r="I288" s="5" t="s">
        <v>231</v>
      </c>
      <c r="J288" s="5" t="s">
        <v>232</v>
      </c>
      <c r="K288" s="5" t="s">
        <v>602</v>
      </c>
      <c r="M288" s="5" t="s">
        <v>819</v>
      </c>
    </row>
    <row r="289" spans="1:17" ht="45" customHeight="1" x14ac:dyDescent="0.45">
      <c r="A289" s="5" t="s">
        <v>2088</v>
      </c>
      <c r="B289" s="5" t="s">
        <v>650</v>
      </c>
      <c r="C289" s="5" t="s">
        <v>1553</v>
      </c>
      <c r="D289" s="8" t="s">
        <v>495</v>
      </c>
      <c r="E289" s="9" t="s">
        <v>597</v>
      </c>
      <c r="F289" s="5" t="s">
        <v>105</v>
      </c>
      <c r="G289" s="5" t="s">
        <v>1139</v>
      </c>
      <c r="H289" s="5" t="s">
        <v>847</v>
      </c>
      <c r="I289" s="5" t="s">
        <v>1586</v>
      </c>
      <c r="J289" s="5" t="s">
        <v>211</v>
      </c>
      <c r="K289" s="5" t="s">
        <v>603</v>
      </c>
      <c r="O289" s="5" t="s">
        <v>1554</v>
      </c>
      <c r="P289" s="5" t="s">
        <v>1555</v>
      </c>
    </row>
    <row r="290" spans="1:17" ht="45" customHeight="1" x14ac:dyDescent="0.45">
      <c r="A290" s="5" t="s">
        <v>2089</v>
      </c>
      <c r="B290" s="5" t="s">
        <v>650</v>
      </c>
      <c r="C290" s="5" t="s">
        <v>1556</v>
      </c>
      <c r="D290" s="8" t="s">
        <v>731</v>
      </c>
      <c r="E290" s="9" t="s">
        <v>597</v>
      </c>
      <c r="F290" s="5" t="s">
        <v>105</v>
      </c>
      <c r="G290" s="5" t="s">
        <v>1139</v>
      </c>
      <c r="H290" s="5" t="s">
        <v>847</v>
      </c>
      <c r="I290" s="5" t="s">
        <v>1586</v>
      </c>
      <c r="J290" s="5" t="s">
        <v>211</v>
      </c>
      <c r="K290" s="5" t="s">
        <v>603</v>
      </c>
      <c r="O290" s="5" t="s">
        <v>1557</v>
      </c>
      <c r="P290" s="5" t="s">
        <v>1559</v>
      </c>
      <c r="Q290" s="5" t="s">
        <v>1558</v>
      </c>
    </row>
    <row r="291" spans="1:17" ht="45" customHeight="1" x14ac:dyDescent="0.45">
      <c r="A291" s="5" t="s">
        <v>2090</v>
      </c>
      <c r="B291" s="5" t="s">
        <v>650</v>
      </c>
      <c r="C291" s="5" t="s">
        <v>730</v>
      </c>
      <c r="D291" s="8" t="s">
        <v>731</v>
      </c>
      <c r="E291" s="9" t="s">
        <v>725</v>
      </c>
      <c r="F291" s="5" t="s">
        <v>105</v>
      </c>
      <c r="G291" s="5" t="s">
        <v>217</v>
      </c>
      <c r="H291" s="5" t="s">
        <v>218</v>
      </c>
      <c r="I291" s="5" t="s">
        <v>1586</v>
      </c>
      <c r="J291" s="5" t="s">
        <v>211</v>
      </c>
      <c r="K291" s="5" t="s">
        <v>606</v>
      </c>
    </row>
    <row r="292" spans="1:17" ht="45" customHeight="1" x14ac:dyDescent="0.45">
      <c r="A292" s="5" t="s">
        <v>2091</v>
      </c>
      <c r="B292" s="5" t="s">
        <v>650</v>
      </c>
      <c r="C292" s="5" t="s">
        <v>732</v>
      </c>
      <c r="D292" s="8" t="s">
        <v>497</v>
      </c>
      <c r="E292" s="9" t="s">
        <v>733</v>
      </c>
      <c r="F292" s="5" t="s">
        <v>105</v>
      </c>
      <c r="G292" s="5" t="s">
        <v>217</v>
      </c>
      <c r="H292" s="5" t="s">
        <v>218</v>
      </c>
      <c r="I292" s="5" t="s">
        <v>1586</v>
      </c>
      <c r="J292" s="5" t="s">
        <v>211</v>
      </c>
      <c r="K292" s="5" t="s">
        <v>606</v>
      </c>
    </row>
    <row r="293" spans="1:17" ht="45" customHeight="1" x14ac:dyDescent="0.45">
      <c r="A293" s="5" t="s">
        <v>2092</v>
      </c>
      <c r="B293" s="5" t="s">
        <v>650</v>
      </c>
      <c r="C293" s="5" t="s">
        <v>1560</v>
      </c>
      <c r="D293" s="8" t="s">
        <v>497</v>
      </c>
      <c r="E293" s="9" t="s">
        <v>1562</v>
      </c>
      <c r="F293" s="5" t="s">
        <v>1561</v>
      </c>
      <c r="G293" s="5" t="s">
        <v>1563</v>
      </c>
      <c r="I293" s="5" t="s">
        <v>231</v>
      </c>
      <c r="J293" s="5" t="s">
        <v>232</v>
      </c>
    </row>
    <row r="294" spans="1:17" ht="45" customHeight="1" x14ac:dyDescent="0.45">
      <c r="A294" s="5" t="s">
        <v>2093</v>
      </c>
      <c r="B294" s="5" t="s">
        <v>650</v>
      </c>
      <c r="C294" s="5" t="s">
        <v>734</v>
      </c>
      <c r="D294" s="8" t="s">
        <v>619</v>
      </c>
      <c r="E294" s="9" t="s">
        <v>735</v>
      </c>
      <c r="F294" s="5" t="s">
        <v>105</v>
      </c>
      <c r="G294" s="5" t="s">
        <v>217</v>
      </c>
      <c r="H294" s="5" t="s">
        <v>218</v>
      </c>
      <c r="I294" s="5" t="s">
        <v>231</v>
      </c>
      <c r="J294" s="5" t="s">
        <v>1150</v>
      </c>
      <c r="K294" s="5" t="s">
        <v>606</v>
      </c>
    </row>
    <row r="295" spans="1:17" ht="45" customHeight="1" x14ac:dyDescent="0.45">
      <c r="A295" s="5" t="s">
        <v>2094</v>
      </c>
      <c r="B295" s="5" t="s">
        <v>650</v>
      </c>
      <c r="C295" s="5" t="s">
        <v>1566</v>
      </c>
      <c r="D295" s="8" t="s">
        <v>1567</v>
      </c>
      <c r="E295" s="9" t="s">
        <v>1565</v>
      </c>
      <c r="F295" s="5" t="s">
        <v>105</v>
      </c>
      <c r="G295" s="5" t="s">
        <v>1564</v>
      </c>
      <c r="I295" s="5" t="s">
        <v>231</v>
      </c>
      <c r="J295" s="5" t="s">
        <v>232</v>
      </c>
    </row>
    <row r="296" spans="1:17" ht="45" customHeight="1" x14ac:dyDescent="0.45">
      <c r="A296" s="5" t="s">
        <v>2095</v>
      </c>
      <c r="B296" s="5" t="s">
        <v>650</v>
      </c>
      <c r="C296" s="5" t="s">
        <v>1374</v>
      </c>
      <c r="D296" s="8" t="s">
        <v>256</v>
      </c>
      <c r="E296" s="9" t="s">
        <v>1375</v>
      </c>
      <c r="F296" s="5" t="s">
        <v>105</v>
      </c>
      <c r="G296" s="5" t="s">
        <v>1265</v>
      </c>
      <c r="H296" s="5" t="s">
        <v>908</v>
      </c>
      <c r="I296" s="5" t="s">
        <v>1586</v>
      </c>
      <c r="J296" s="5" t="s">
        <v>211</v>
      </c>
      <c r="K296" s="5" t="s">
        <v>602</v>
      </c>
      <c r="M296" s="5" t="s">
        <v>819</v>
      </c>
    </row>
    <row r="297" spans="1:17" ht="45" customHeight="1" x14ac:dyDescent="0.45">
      <c r="A297" s="5" t="s">
        <v>2096</v>
      </c>
      <c r="B297" s="5" t="s">
        <v>650</v>
      </c>
      <c r="C297" s="5" t="s">
        <v>249</v>
      </c>
      <c r="D297" s="8" t="s">
        <v>256</v>
      </c>
      <c r="E297" s="9" t="s">
        <v>657</v>
      </c>
      <c r="F297" s="5" t="s">
        <v>105</v>
      </c>
      <c r="G297" s="5" t="s">
        <v>217</v>
      </c>
      <c r="H297" s="5" t="s">
        <v>218</v>
      </c>
      <c r="I297" s="5" t="s">
        <v>651</v>
      </c>
      <c r="J297" s="5" t="s">
        <v>672</v>
      </c>
      <c r="K297" s="5" t="s">
        <v>602</v>
      </c>
    </row>
    <row r="298" spans="1:17" ht="45" customHeight="1" x14ac:dyDescent="0.45">
      <c r="A298" s="5" t="s">
        <v>2097</v>
      </c>
      <c r="B298" s="5" t="s">
        <v>650</v>
      </c>
      <c r="C298" s="5" t="s">
        <v>736</v>
      </c>
      <c r="D298" s="8" t="s">
        <v>500</v>
      </c>
      <c r="E298" s="9" t="s">
        <v>273</v>
      </c>
      <c r="F298" s="5" t="s">
        <v>105</v>
      </c>
      <c r="G298" s="5" t="s">
        <v>217</v>
      </c>
      <c r="H298" s="5" t="s">
        <v>218</v>
      </c>
      <c r="I298" s="5" t="s">
        <v>1586</v>
      </c>
      <c r="J298" s="5" t="s">
        <v>211</v>
      </c>
      <c r="K298" s="5" t="s">
        <v>606</v>
      </c>
    </row>
    <row r="299" spans="1:17" ht="45" customHeight="1" x14ac:dyDescent="0.45">
      <c r="A299" s="5" t="s">
        <v>2098</v>
      </c>
      <c r="B299" s="5" t="s">
        <v>650</v>
      </c>
      <c r="C299" s="5" t="s">
        <v>737</v>
      </c>
      <c r="D299" s="8" t="s">
        <v>738</v>
      </c>
      <c r="E299" s="9" t="s">
        <v>739</v>
      </c>
      <c r="F299" s="5" t="s">
        <v>105</v>
      </c>
      <c r="G299" s="5" t="s">
        <v>217</v>
      </c>
      <c r="H299" s="5" t="s">
        <v>218</v>
      </c>
      <c r="I299" s="5" t="s">
        <v>1586</v>
      </c>
      <c r="J299" s="5" t="s">
        <v>211</v>
      </c>
      <c r="K299" s="5" t="s">
        <v>606</v>
      </c>
    </row>
    <row r="300" spans="1:17" ht="45" customHeight="1" x14ac:dyDescent="0.45">
      <c r="A300" s="5" t="s">
        <v>2099</v>
      </c>
      <c r="B300" s="5" t="s">
        <v>650</v>
      </c>
      <c r="C300" s="5" t="s">
        <v>741</v>
      </c>
      <c r="D300" s="8" t="s">
        <v>742</v>
      </c>
      <c r="E300" s="9" t="s">
        <v>740</v>
      </c>
      <c r="F300" s="5" t="s">
        <v>105</v>
      </c>
      <c r="G300" s="5" t="s">
        <v>217</v>
      </c>
      <c r="H300" s="5" t="s">
        <v>218</v>
      </c>
      <c r="I300" s="5" t="s">
        <v>1586</v>
      </c>
      <c r="J300" s="5" t="s">
        <v>211</v>
      </c>
      <c r="K300" s="5" t="s">
        <v>606</v>
      </c>
    </row>
    <row r="301" spans="1:17" ht="45" customHeight="1" x14ac:dyDescent="0.45">
      <c r="A301" s="5" t="s">
        <v>2100</v>
      </c>
      <c r="B301" s="5" t="s">
        <v>650</v>
      </c>
      <c r="C301" s="5" t="s">
        <v>744</v>
      </c>
      <c r="D301" s="8" t="s">
        <v>745</v>
      </c>
      <c r="E301" s="9" t="s">
        <v>743</v>
      </c>
      <c r="F301" s="5" t="s">
        <v>105</v>
      </c>
      <c r="G301" s="5" t="s">
        <v>217</v>
      </c>
      <c r="H301" s="5" t="s">
        <v>218</v>
      </c>
      <c r="I301" s="5" t="s">
        <v>662</v>
      </c>
      <c r="J301" s="5" t="s">
        <v>401</v>
      </c>
      <c r="K301" s="5" t="s">
        <v>606</v>
      </c>
    </row>
    <row r="302" spans="1:17" ht="45" customHeight="1" x14ac:dyDescent="0.45">
      <c r="A302" s="5" t="s">
        <v>2101</v>
      </c>
      <c r="B302" s="5" t="s">
        <v>650</v>
      </c>
      <c r="C302" s="5" t="s">
        <v>746</v>
      </c>
      <c r="D302" s="8" t="s">
        <v>747</v>
      </c>
      <c r="E302" s="9" t="s">
        <v>743</v>
      </c>
      <c r="F302" s="5" t="s">
        <v>105</v>
      </c>
      <c r="G302" s="5" t="s">
        <v>217</v>
      </c>
      <c r="H302" s="5" t="s">
        <v>218</v>
      </c>
      <c r="I302" s="5" t="s">
        <v>1586</v>
      </c>
      <c r="J302" s="5" t="s">
        <v>211</v>
      </c>
      <c r="K302" s="5" t="s">
        <v>606</v>
      </c>
    </row>
    <row r="303" spans="1:17" ht="45" customHeight="1" x14ac:dyDescent="0.45">
      <c r="A303" s="5" t="s">
        <v>2102</v>
      </c>
      <c r="B303" s="5" t="s">
        <v>650</v>
      </c>
      <c r="C303" s="5" t="s">
        <v>749</v>
      </c>
      <c r="D303" s="8" t="s">
        <v>505</v>
      </c>
      <c r="E303" s="9" t="s">
        <v>748</v>
      </c>
      <c r="F303" s="5" t="s">
        <v>105</v>
      </c>
      <c r="G303" s="5" t="s">
        <v>217</v>
      </c>
      <c r="H303" s="5" t="s">
        <v>218</v>
      </c>
      <c r="I303" s="5" t="s">
        <v>1586</v>
      </c>
      <c r="J303" s="5" t="s">
        <v>211</v>
      </c>
      <c r="K303" s="5" t="s">
        <v>606</v>
      </c>
    </row>
    <row r="304" spans="1:17" ht="45" customHeight="1" x14ac:dyDescent="0.45">
      <c r="A304" s="5" t="s">
        <v>2103</v>
      </c>
      <c r="B304" s="5" t="s">
        <v>650</v>
      </c>
      <c r="C304" s="5" t="s">
        <v>751</v>
      </c>
      <c r="D304" s="8" t="s">
        <v>752</v>
      </c>
      <c r="E304" s="9" t="s">
        <v>750</v>
      </c>
      <c r="F304" s="5" t="s">
        <v>105</v>
      </c>
      <c r="G304" s="5" t="s">
        <v>217</v>
      </c>
      <c r="H304" s="5" t="s">
        <v>218</v>
      </c>
      <c r="I304" s="5" t="s">
        <v>1586</v>
      </c>
      <c r="J304" s="5" t="s">
        <v>211</v>
      </c>
      <c r="K304" s="5" t="s">
        <v>606</v>
      </c>
    </row>
    <row r="305" spans="1:11" ht="45" customHeight="1" x14ac:dyDescent="0.45">
      <c r="A305" s="5" t="s">
        <v>2104</v>
      </c>
      <c r="B305" s="5" t="s">
        <v>650</v>
      </c>
      <c r="C305" s="5" t="s">
        <v>753</v>
      </c>
      <c r="D305" s="8" t="s">
        <v>508</v>
      </c>
      <c r="E305" s="9" t="s">
        <v>750</v>
      </c>
      <c r="F305" s="5" t="s">
        <v>105</v>
      </c>
      <c r="G305" s="5" t="s">
        <v>217</v>
      </c>
      <c r="H305" s="5" t="s">
        <v>218</v>
      </c>
      <c r="I305" s="5" t="s">
        <v>231</v>
      </c>
      <c r="J305" s="5" t="s">
        <v>1150</v>
      </c>
      <c r="K305" s="5" t="s">
        <v>606</v>
      </c>
    </row>
    <row r="306" spans="1:11" ht="45" customHeight="1" x14ac:dyDescent="0.45">
      <c r="A306" s="5" t="s">
        <v>2105</v>
      </c>
      <c r="B306" s="5" t="s">
        <v>650</v>
      </c>
      <c r="C306" s="5" t="s">
        <v>755</v>
      </c>
      <c r="D306" s="8" t="s">
        <v>756</v>
      </c>
      <c r="E306" s="9" t="s">
        <v>754</v>
      </c>
      <c r="F306" s="5" t="s">
        <v>105</v>
      </c>
      <c r="G306" s="5" t="s">
        <v>217</v>
      </c>
      <c r="H306" s="5" t="s">
        <v>218</v>
      </c>
      <c r="I306" s="5" t="s">
        <v>1586</v>
      </c>
      <c r="J306" s="5" t="s">
        <v>211</v>
      </c>
      <c r="K306" s="5" t="s">
        <v>606</v>
      </c>
    </row>
    <row r="307" spans="1:11" ht="45" customHeight="1" x14ac:dyDescent="0.45">
      <c r="A307" s="5" t="s">
        <v>2106</v>
      </c>
      <c r="B307" s="5" t="s">
        <v>650</v>
      </c>
      <c r="C307" s="5" t="s">
        <v>1376</v>
      </c>
      <c r="D307" s="8" t="s">
        <v>580</v>
      </c>
      <c r="E307" s="9" t="s">
        <v>1378</v>
      </c>
      <c r="F307" s="5" t="s">
        <v>105</v>
      </c>
      <c r="G307" s="5" t="s">
        <v>1377</v>
      </c>
      <c r="I307" s="5" t="s">
        <v>231</v>
      </c>
      <c r="J307" s="5" t="s">
        <v>232</v>
      </c>
    </row>
    <row r="308" spans="1:11" ht="45" customHeight="1" x14ac:dyDescent="0.45">
      <c r="A308" s="5" t="s">
        <v>2107</v>
      </c>
      <c r="B308" s="5" t="s">
        <v>650</v>
      </c>
      <c r="C308" s="5" t="s">
        <v>166</v>
      </c>
      <c r="D308" s="8" t="s">
        <v>580</v>
      </c>
      <c r="E308" s="9" t="s">
        <v>658</v>
      </c>
      <c r="F308" s="5" t="s">
        <v>105</v>
      </c>
      <c r="G308" s="5" t="s">
        <v>217</v>
      </c>
      <c r="H308" s="5" t="s">
        <v>218</v>
      </c>
      <c r="I308" s="5" t="s">
        <v>231</v>
      </c>
      <c r="J308" s="5" t="s">
        <v>1150</v>
      </c>
      <c r="K308" s="5" t="s">
        <v>606</v>
      </c>
    </row>
    <row r="309" spans="1:11" ht="45" customHeight="1" x14ac:dyDescent="0.45">
      <c r="A309" s="5" t="s">
        <v>2108</v>
      </c>
      <c r="B309" s="5" t="s">
        <v>650</v>
      </c>
      <c r="C309" s="5" t="s">
        <v>1379</v>
      </c>
      <c r="D309" s="8" t="s">
        <v>254</v>
      </c>
      <c r="E309" s="9" t="s">
        <v>1380</v>
      </c>
      <c r="F309" s="5" t="s">
        <v>105</v>
      </c>
      <c r="G309" s="5" t="s">
        <v>245</v>
      </c>
      <c r="I309" s="5" t="s">
        <v>231</v>
      </c>
      <c r="J309" s="5" t="s">
        <v>232</v>
      </c>
    </row>
    <row r="310" spans="1:11" ht="45" customHeight="1" x14ac:dyDescent="0.45">
      <c r="A310" s="5" t="s">
        <v>2109</v>
      </c>
      <c r="B310" s="5" t="s">
        <v>650</v>
      </c>
      <c r="C310" s="5" t="s">
        <v>757</v>
      </c>
      <c r="D310" s="8" t="s">
        <v>758</v>
      </c>
      <c r="E310" s="9" t="s">
        <v>754</v>
      </c>
      <c r="F310" s="5" t="s">
        <v>105</v>
      </c>
      <c r="G310" s="5" t="s">
        <v>217</v>
      </c>
      <c r="H310" s="5" t="s">
        <v>218</v>
      </c>
      <c r="I310" s="5" t="s">
        <v>231</v>
      </c>
      <c r="J310" s="5" t="s">
        <v>1150</v>
      </c>
      <c r="K310" s="5" t="s">
        <v>606</v>
      </c>
    </row>
    <row r="311" spans="1:11" ht="45" customHeight="1" x14ac:dyDescent="0.45">
      <c r="A311" s="5" t="s">
        <v>2110</v>
      </c>
      <c r="B311" s="5" t="s">
        <v>650</v>
      </c>
      <c r="C311" s="5" t="s">
        <v>759</v>
      </c>
      <c r="D311" s="8" t="s">
        <v>521</v>
      </c>
      <c r="E311" s="9" t="s">
        <v>760</v>
      </c>
      <c r="F311" s="5" t="s">
        <v>105</v>
      </c>
      <c r="G311" s="5" t="s">
        <v>217</v>
      </c>
      <c r="H311" s="5" t="s">
        <v>218</v>
      </c>
      <c r="I311" s="5" t="s">
        <v>231</v>
      </c>
      <c r="J311" s="5" t="s">
        <v>1150</v>
      </c>
      <c r="K311" s="5" t="s">
        <v>606</v>
      </c>
    </row>
    <row r="312" spans="1:11" ht="45" customHeight="1" x14ac:dyDescent="0.45">
      <c r="A312" s="5" t="s">
        <v>2111</v>
      </c>
      <c r="B312" s="5" t="s">
        <v>650</v>
      </c>
      <c r="C312" s="5" t="s">
        <v>761</v>
      </c>
      <c r="D312" s="8" t="s">
        <v>762</v>
      </c>
      <c r="E312" s="9" t="s">
        <v>763</v>
      </c>
      <c r="F312" s="5" t="s">
        <v>105</v>
      </c>
      <c r="G312" s="5" t="s">
        <v>217</v>
      </c>
      <c r="H312" s="5" t="s">
        <v>218</v>
      </c>
      <c r="I312" s="5" t="s">
        <v>651</v>
      </c>
      <c r="J312" s="5" t="s">
        <v>672</v>
      </c>
      <c r="K312" s="5" t="s">
        <v>602</v>
      </c>
    </row>
    <row r="313" spans="1:11" ht="45" customHeight="1" x14ac:dyDescent="0.45">
      <c r="A313" s="5" t="s">
        <v>2112</v>
      </c>
      <c r="B313" s="5" t="s">
        <v>650</v>
      </c>
      <c r="C313" s="5" t="s">
        <v>765</v>
      </c>
      <c r="D313" s="8" t="s">
        <v>524</v>
      </c>
      <c r="E313" s="9" t="s">
        <v>764</v>
      </c>
      <c r="F313" s="5" t="s">
        <v>105</v>
      </c>
      <c r="G313" s="5" t="s">
        <v>217</v>
      </c>
      <c r="H313" s="5" t="s">
        <v>218</v>
      </c>
      <c r="I313" s="5" t="s">
        <v>231</v>
      </c>
      <c r="J313" s="5" t="s">
        <v>1150</v>
      </c>
      <c r="K313" s="5" t="s">
        <v>606</v>
      </c>
    </row>
    <row r="314" spans="1:11" ht="45" customHeight="1" x14ac:dyDescent="0.45">
      <c r="A314" s="5" t="s">
        <v>2113</v>
      </c>
      <c r="B314" s="5" t="s">
        <v>650</v>
      </c>
      <c r="C314" s="5" t="s">
        <v>767</v>
      </c>
      <c r="D314" s="8" t="s">
        <v>768</v>
      </c>
      <c r="E314" s="9" t="s">
        <v>766</v>
      </c>
      <c r="F314" s="5" t="s">
        <v>105</v>
      </c>
      <c r="G314" s="5" t="s">
        <v>217</v>
      </c>
      <c r="H314" s="5" t="s">
        <v>218</v>
      </c>
      <c r="I314" s="5" t="s">
        <v>651</v>
      </c>
      <c r="J314" s="5" t="s">
        <v>672</v>
      </c>
      <c r="K314" s="5" t="s">
        <v>602</v>
      </c>
    </row>
    <row r="315" spans="1:11" ht="45" customHeight="1" x14ac:dyDescent="0.45">
      <c r="A315" s="5" t="s">
        <v>2114</v>
      </c>
      <c r="B315" s="5" t="s">
        <v>650</v>
      </c>
      <c r="C315" s="5" t="s">
        <v>770</v>
      </c>
      <c r="D315" s="8" t="s">
        <v>771</v>
      </c>
      <c r="E315" s="9" t="s">
        <v>769</v>
      </c>
      <c r="F315" s="5" t="s">
        <v>105</v>
      </c>
      <c r="G315" s="5" t="s">
        <v>217</v>
      </c>
      <c r="H315" s="5" t="s">
        <v>218</v>
      </c>
      <c r="I315" s="5" t="s">
        <v>231</v>
      </c>
      <c r="J315" s="5" t="s">
        <v>1150</v>
      </c>
      <c r="K315" s="5" t="s">
        <v>606</v>
      </c>
    </row>
    <row r="316" spans="1:11" ht="45" customHeight="1" x14ac:dyDescent="0.45">
      <c r="A316" s="5" t="s">
        <v>2115</v>
      </c>
      <c r="B316" s="5" t="s">
        <v>650</v>
      </c>
      <c r="C316" s="5" t="s">
        <v>772</v>
      </c>
      <c r="D316" s="8" t="s">
        <v>531</v>
      </c>
      <c r="E316" s="9" t="s">
        <v>773</v>
      </c>
      <c r="F316" s="5" t="s">
        <v>105</v>
      </c>
      <c r="G316" s="5" t="s">
        <v>217</v>
      </c>
      <c r="H316" s="5" t="s">
        <v>218</v>
      </c>
      <c r="I316" s="5" t="s">
        <v>651</v>
      </c>
      <c r="J316" s="5" t="s">
        <v>672</v>
      </c>
      <c r="K316" s="5" t="s">
        <v>602</v>
      </c>
    </row>
    <row r="317" spans="1:11" ht="45" customHeight="1" x14ac:dyDescent="0.45">
      <c r="A317" s="5" t="s">
        <v>2116</v>
      </c>
      <c r="B317" s="5" t="s">
        <v>650</v>
      </c>
      <c r="C317" s="5" t="s">
        <v>775</v>
      </c>
      <c r="D317" s="8" t="s">
        <v>776</v>
      </c>
      <c r="E317" s="9" t="s">
        <v>774</v>
      </c>
      <c r="F317" s="5" t="s">
        <v>105</v>
      </c>
      <c r="G317" s="5" t="s">
        <v>217</v>
      </c>
      <c r="H317" s="5" t="s">
        <v>218</v>
      </c>
      <c r="I317" s="5" t="s">
        <v>651</v>
      </c>
      <c r="J317" s="5" t="s">
        <v>672</v>
      </c>
      <c r="K317" s="5" t="s">
        <v>602</v>
      </c>
    </row>
    <row r="318" spans="1:11" ht="45" customHeight="1" x14ac:dyDescent="0.45">
      <c r="A318" s="5" t="s">
        <v>2117</v>
      </c>
      <c r="B318" s="5" t="s">
        <v>650</v>
      </c>
      <c r="C318" s="5" t="s">
        <v>777</v>
      </c>
      <c r="D318" s="8" t="s">
        <v>534</v>
      </c>
      <c r="E318" s="9" t="s">
        <v>778</v>
      </c>
      <c r="F318" s="5" t="s">
        <v>105</v>
      </c>
      <c r="G318" s="5" t="s">
        <v>217</v>
      </c>
      <c r="H318" s="5" t="s">
        <v>218</v>
      </c>
      <c r="I318" s="5" t="s">
        <v>231</v>
      </c>
      <c r="J318" s="5" t="s">
        <v>1150</v>
      </c>
      <c r="K318" s="5" t="s">
        <v>606</v>
      </c>
    </row>
    <row r="319" spans="1:11" ht="45" customHeight="1" x14ac:dyDescent="0.45">
      <c r="A319" s="5" t="s">
        <v>2118</v>
      </c>
      <c r="B319" s="5" t="s">
        <v>650</v>
      </c>
      <c r="C319" s="5" t="s">
        <v>1381</v>
      </c>
      <c r="D319" s="8" t="s">
        <v>258</v>
      </c>
      <c r="E319" s="9" t="s">
        <v>1382</v>
      </c>
      <c r="F319" s="5" t="s">
        <v>105</v>
      </c>
      <c r="G319" s="5" t="s">
        <v>1369</v>
      </c>
      <c r="H319" s="5" t="s">
        <v>1349</v>
      </c>
      <c r="I319" s="5" t="s">
        <v>1586</v>
      </c>
      <c r="J319" s="5" t="s">
        <v>211</v>
      </c>
    </row>
    <row r="320" spans="1:11" ht="45" customHeight="1" x14ac:dyDescent="0.45">
      <c r="A320" s="5" t="s">
        <v>2119</v>
      </c>
      <c r="B320" s="5" t="s">
        <v>650</v>
      </c>
      <c r="C320" s="5" t="s">
        <v>779</v>
      </c>
      <c r="D320" s="8" t="s">
        <v>780</v>
      </c>
      <c r="E320" s="9" t="s">
        <v>781</v>
      </c>
      <c r="F320" s="5" t="s">
        <v>105</v>
      </c>
      <c r="G320" s="5" t="s">
        <v>217</v>
      </c>
      <c r="H320" s="5" t="s">
        <v>218</v>
      </c>
      <c r="I320" s="5" t="s">
        <v>651</v>
      </c>
      <c r="J320" s="5" t="s">
        <v>672</v>
      </c>
      <c r="K320" s="5" t="s">
        <v>602</v>
      </c>
    </row>
    <row r="321" spans="1:17" ht="45" customHeight="1" x14ac:dyDescent="0.45">
      <c r="A321" s="5" t="s">
        <v>2120</v>
      </c>
      <c r="B321" s="5" t="s">
        <v>650</v>
      </c>
      <c r="C321" s="5" t="s">
        <v>782</v>
      </c>
      <c r="D321" s="8" t="s">
        <v>783</v>
      </c>
      <c r="E321" s="9" t="s">
        <v>784</v>
      </c>
      <c r="F321" s="5" t="s">
        <v>105</v>
      </c>
      <c r="G321" s="5" t="s">
        <v>217</v>
      </c>
      <c r="H321" s="5" t="s">
        <v>218</v>
      </c>
      <c r="I321" s="5" t="s">
        <v>231</v>
      </c>
      <c r="J321" s="5" t="s">
        <v>1150</v>
      </c>
      <c r="K321" s="5" t="s">
        <v>606</v>
      </c>
    </row>
    <row r="322" spans="1:17" ht="45" customHeight="1" x14ac:dyDescent="0.45">
      <c r="A322" s="5" t="s">
        <v>2121</v>
      </c>
      <c r="B322" s="5" t="s">
        <v>650</v>
      </c>
      <c r="C322" s="5" t="s">
        <v>41</v>
      </c>
      <c r="D322" s="8" t="s">
        <v>786</v>
      </c>
      <c r="E322" s="9" t="s">
        <v>785</v>
      </c>
      <c r="F322" s="5" t="s">
        <v>105</v>
      </c>
      <c r="G322" s="5" t="s">
        <v>217</v>
      </c>
      <c r="H322" s="5" t="s">
        <v>218</v>
      </c>
      <c r="I322" s="5" t="s">
        <v>651</v>
      </c>
      <c r="J322" s="5" t="s">
        <v>672</v>
      </c>
      <c r="K322" s="5" t="s">
        <v>602</v>
      </c>
    </row>
    <row r="323" spans="1:17" ht="45" customHeight="1" x14ac:dyDescent="0.45">
      <c r="A323" s="5" t="s">
        <v>2122</v>
      </c>
      <c r="B323" s="5" t="s">
        <v>650</v>
      </c>
      <c r="C323" s="5" t="s">
        <v>787</v>
      </c>
      <c r="D323" s="8" t="s">
        <v>788</v>
      </c>
      <c r="E323" s="9" t="s">
        <v>785</v>
      </c>
      <c r="F323" s="5" t="s">
        <v>105</v>
      </c>
      <c r="G323" s="5" t="s">
        <v>217</v>
      </c>
      <c r="H323" s="5" t="s">
        <v>218</v>
      </c>
      <c r="I323" s="5" t="s">
        <v>231</v>
      </c>
      <c r="J323" s="5" t="s">
        <v>1150</v>
      </c>
      <c r="K323" s="5" t="s">
        <v>606</v>
      </c>
    </row>
    <row r="324" spans="1:17" ht="45" customHeight="1" x14ac:dyDescent="0.45">
      <c r="A324" s="5" t="s">
        <v>2123</v>
      </c>
      <c r="B324" s="5" t="s">
        <v>650</v>
      </c>
      <c r="C324" s="5" t="s">
        <v>1386</v>
      </c>
      <c r="D324" s="8" t="s">
        <v>261</v>
      </c>
      <c r="E324" s="9" t="s">
        <v>1387</v>
      </c>
      <c r="F324" s="5" t="s">
        <v>105</v>
      </c>
      <c r="G324" s="5" t="s">
        <v>1139</v>
      </c>
      <c r="H324" s="5" t="s">
        <v>847</v>
      </c>
      <c r="I324" s="5" t="s">
        <v>1586</v>
      </c>
      <c r="J324" s="5" t="s">
        <v>211</v>
      </c>
      <c r="K324" s="5" t="s">
        <v>603</v>
      </c>
      <c r="O324" s="5" t="s">
        <v>1385</v>
      </c>
      <c r="P324" s="5" t="s">
        <v>1384</v>
      </c>
      <c r="Q324" s="5" t="s">
        <v>1383</v>
      </c>
    </row>
    <row r="325" spans="1:17" ht="45" customHeight="1" x14ac:dyDescent="0.45">
      <c r="A325" s="5" t="s">
        <v>2124</v>
      </c>
      <c r="B325" s="5" t="s">
        <v>650</v>
      </c>
      <c r="C325" s="5" t="s">
        <v>790</v>
      </c>
      <c r="D325" s="8" t="s">
        <v>791</v>
      </c>
      <c r="E325" s="9" t="s">
        <v>789</v>
      </c>
      <c r="F325" s="5" t="s">
        <v>105</v>
      </c>
      <c r="G325" s="5" t="s">
        <v>217</v>
      </c>
      <c r="H325" s="5" t="s">
        <v>218</v>
      </c>
      <c r="I325" s="5" t="s">
        <v>651</v>
      </c>
      <c r="J325" s="5" t="s">
        <v>672</v>
      </c>
      <c r="K325" s="5" t="s">
        <v>602</v>
      </c>
    </row>
    <row r="326" spans="1:17" ht="45" customHeight="1" x14ac:dyDescent="0.45">
      <c r="A326" s="5" t="s">
        <v>2125</v>
      </c>
      <c r="B326" s="5" t="s">
        <v>650</v>
      </c>
      <c r="C326" s="5" t="s">
        <v>793</v>
      </c>
      <c r="D326" s="8" t="s">
        <v>792</v>
      </c>
      <c r="E326" s="9" t="s">
        <v>794</v>
      </c>
      <c r="F326" s="5" t="s">
        <v>105</v>
      </c>
      <c r="G326" s="5" t="s">
        <v>217</v>
      </c>
      <c r="H326" s="5" t="s">
        <v>218</v>
      </c>
      <c r="I326" s="5" t="s">
        <v>1586</v>
      </c>
      <c r="J326" s="5" t="s">
        <v>211</v>
      </c>
      <c r="K326" s="5" t="s">
        <v>606</v>
      </c>
    </row>
    <row r="327" spans="1:17" ht="45" customHeight="1" x14ac:dyDescent="0.45">
      <c r="A327" s="5" t="s">
        <v>2126</v>
      </c>
      <c r="B327" s="5" t="s">
        <v>650</v>
      </c>
      <c r="C327" s="5" t="s">
        <v>796</v>
      </c>
      <c r="D327" s="8" t="s">
        <v>797</v>
      </c>
      <c r="E327" s="9" t="s">
        <v>795</v>
      </c>
      <c r="F327" s="5" t="s">
        <v>105</v>
      </c>
      <c r="G327" s="5" t="s">
        <v>217</v>
      </c>
      <c r="H327" s="5" t="s">
        <v>218</v>
      </c>
      <c r="I327" s="5" t="s">
        <v>651</v>
      </c>
      <c r="J327" s="5" t="s">
        <v>672</v>
      </c>
      <c r="K327" s="5" t="s">
        <v>602</v>
      </c>
    </row>
    <row r="328" spans="1:17" ht="45" customHeight="1" x14ac:dyDescent="0.45">
      <c r="A328" s="5" t="s">
        <v>2127</v>
      </c>
      <c r="B328" s="5" t="s">
        <v>650</v>
      </c>
      <c r="C328" s="5" t="s">
        <v>798</v>
      </c>
      <c r="D328" s="8" t="s">
        <v>799</v>
      </c>
      <c r="E328" s="9" t="s">
        <v>800</v>
      </c>
      <c r="F328" s="5" t="s">
        <v>105</v>
      </c>
      <c r="G328" s="5" t="s">
        <v>217</v>
      </c>
      <c r="H328" s="5" t="s">
        <v>218</v>
      </c>
      <c r="I328" s="5" t="s">
        <v>179</v>
      </c>
      <c r="J328" s="5" t="s">
        <v>181</v>
      </c>
      <c r="K328" s="5" t="s">
        <v>181</v>
      </c>
      <c r="Q328" s="5" t="s">
        <v>801</v>
      </c>
    </row>
    <row r="329" spans="1:17" ht="45" customHeight="1" x14ac:dyDescent="0.45">
      <c r="A329" s="5" t="s">
        <v>2128</v>
      </c>
      <c r="B329" s="5" t="s">
        <v>650</v>
      </c>
      <c r="C329" s="5" t="s">
        <v>803</v>
      </c>
      <c r="D329" s="8" t="s">
        <v>804</v>
      </c>
      <c r="E329" s="9" t="s">
        <v>802</v>
      </c>
      <c r="F329" s="5" t="s">
        <v>105</v>
      </c>
      <c r="G329" s="5" t="s">
        <v>217</v>
      </c>
      <c r="H329" s="5" t="s">
        <v>218</v>
      </c>
      <c r="I329" s="5" t="s">
        <v>651</v>
      </c>
      <c r="J329" s="5" t="s">
        <v>672</v>
      </c>
      <c r="K329" s="5" t="s">
        <v>602</v>
      </c>
    </row>
    <row r="330" spans="1:17" ht="45" customHeight="1" x14ac:dyDescent="0.45">
      <c r="A330" s="5" t="s">
        <v>2129</v>
      </c>
      <c r="B330" s="5" t="s">
        <v>650</v>
      </c>
      <c r="C330" s="5" t="s">
        <v>805</v>
      </c>
      <c r="D330" s="8" t="s">
        <v>806</v>
      </c>
      <c r="E330" s="9" t="s">
        <v>807</v>
      </c>
      <c r="F330" s="5" t="s">
        <v>105</v>
      </c>
      <c r="G330" s="5" t="s">
        <v>217</v>
      </c>
      <c r="H330" s="5" t="s">
        <v>218</v>
      </c>
      <c r="I330" s="5" t="s">
        <v>651</v>
      </c>
      <c r="J330" s="5" t="s">
        <v>672</v>
      </c>
      <c r="K330" s="5" t="s">
        <v>602</v>
      </c>
      <c r="Q330" s="5" t="s">
        <v>811</v>
      </c>
    </row>
    <row r="331" spans="1:17" ht="45" customHeight="1" x14ac:dyDescent="0.45">
      <c r="A331" s="5" t="s">
        <v>2130</v>
      </c>
      <c r="B331" s="5" t="s">
        <v>650</v>
      </c>
      <c r="C331" s="5" t="s">
        <v>808</v>
      </c>
      <c r="D331" s="8" t="s">
        <v>809</v>
      </c>
      <c r="E331" s="9" t="s">
        <v>807</v>
      </c>
      <c r="F331" s="5" t="s">
        <v>105</v>
      </c>
      <c r="G331" s="5" t="s">
        <v>217</v>
      </c>
      <c r="H331" s="5" t="s">
        <v>218</v>
      </c>
      <c r="I331" s="5" t="s">
        <v>231</v>
      </c>
      <c r="J331" s="5" t="s">
        <v>1150</v>
      </c>
      <c r="K331" s="5" t="s">
        <v>606</v>
      </c>
      <c r="Q331" s="5" t="s">
        <v>810</v>
      </c>
    </row>
    <row r="332" spans="1:17" ht="45" customHeight="1" x14ac:dyDescent="0.45">
      <c r="A332" s="5" t="s">
        <v>2131</v>
      </c>
      <c r="B332" s="5" t="s">
        <v>650</v>
      </c>
      <c r="C332" s="5" t="s">
        <v>1352</v>
      </c>
      <c r="D332" s="8" t="s">
        <v>1353</v>
      </c>
      <c r="E332" s="9" t="s">
        <v>1351</v>
      </c>
      <c r="F332" s="5" t="s">
        <v>105</v>
      </c>
      <c r="G332" s="5" t="s">
        <v>1350</v>
      </c>
      <c r="I332" s="5" t="s">
        <v>1586</v>
      </c>
      <c r="J332" s="5" t="s">
        <v>211</v>
      </c>
    </row>
    <row r="333" spans="1:17" ht="45" customHeight="1" x14ac:dyDescent="0.45">
      <c r="A333" s="5" t="s">
        <v>2132</v>
      </c>
      <c r="B333" s="5" t="s">
        <v>650</v>
      </c>
      <c r="C333" s="5" t="s">
        <v>1388</v>
      </c>
      <c r="D333" s="8" t="s">
        <v>352</v>
      </c>
      <c r="E333" s="9" t="s">
        <v>1389</v>
      </c>
      <c r="F333" s="5" t="s">
        <v>105</v>
      </c>
      <c r="G333" s="5" t="s">
        <v>1030</v>
      </c>
      <c r="H333" s="5" t="s">
        <v>1349</v>
      </c>
      <c r="I333" s="5" t="s">
        <v>1586</v>
      </c>
      <c r="J333" s="5" t="s">
        <v>211</v>
      </c>
    </row>
    <row r="334" spans="1:17" ht="45" customHeight="1" x14ac:dyDescent="0.45">
      <c r="A334" s="5" t="s">
        <v>2133</v>
      </c>
      <c r="B334" s="5" t="s">
        <v>650</v>
      </c>
      <c r="C334" s="5" t="s">
        <v>812</v>
      </c>
      <c r="D334" s="8" t="s">
        <v>813</v>
      </c>
      <c r="E334" s="9" t="s">
        <v>814</v>
      </c>
      <c r="F334" s="5" t="s">
        <v>105</v>
      </c>
      <c r="G334" s="5" t="s">
        <v>217</v>
      </c>
      <c r="H334" s="5" t="s">
        <v>218</v>
      </c>
      <c r="I334" s="5" t="s">
        <v>1586</v>
      </c>
      <c r="J334" s="5" t="s">
        <v>211</v>
      </c>
      <c r="K334" s="5" t="s">
        <v>606</v>
      </c>
    </row>
    <row r="335" spans="1:17" ht="45" customHeight="1" x14ac:dyDescent="0.45">
      <c r="A335" s="5" t="s">
        <v>2134</v>
      </c>
      <c r="B335" s="5" t="s">
        <v>650</v>
      </c>
      <c r="C335" s="5" t="s">
        <v>817</v>
      </c>
      <c r="D335" s="8" t="s">
        <v>818</v>
      </c>
      <c r="E335" s="9" t="s">
        <v>815</v>
      </c>
      <c r="F335" s="5" t="s">
        <v>105</v>
      </c>
      <c r="G335" s="5" t="s">
        <v>217</v>
      </c>
      <c r="H335" s="5" t="s">
        <v>218</v>
      </c>
      <c r="I335" s="5" t="s">
        <v>231</v>
      </c>
      <c r="J335" s="5" t="s">
        <v>1150</v>
      </c>
      <c r="K335" s="5" t="s">
        <v>606</v>
      </c>
      <c r="Q335" s="5" t="s">
        <v>816</v>
      </c>
    </row>
    <row r="336" spans="1:17" ht="45" customHeight="1" x14ac:dyDescent="0.45">
      <c r="A336" s="5" t="s">
        <v>2135</v>
      </c>
      <c r="B336" s="5" t="s">
        <v>650</v>
      </c>
      <c r="C336" s="5" t="s">
        <v>1390</v>
      </c>
      <c r="D336" s="8" t="s">
        <v>263</v>
      </c>
      <c r="E336" s="9" t="s">
        <v>1391</v>
      </c>
      <c r="F336" s="5" t="s">
        <v>105</v>
      </c>
      <c r="G336" s="5" t="s">
        <v>971</v>
      </c>
      <c r="H336" s="5" t="s">
        <v>931</v>
      </c>
      <c r="I336" s="5" t="s">
        <v>1586</v>
      </c>
      <c r="J336" s="5" t="s">
        <v>211</v>
      </c>
    </row>
    <row r="337" spans="1:17" ht="45" customHeight="1" x14ac:dyDescent="0.45">
      <c r="A337" s="5" t="s">
        <v>2136</v>
      </c>
      <c r="B337" s="5" t="s">
        <v>650</v>
      </c>
      <c r="C337" s="5" t="s">
        <v>822</v>
      </c>
      <c r="D337" s="8" t="s">
        <v>823</v>
      </c>
      <c r="E337" s="9" t="s">
        <v>824</v>
      </c>
      <c r="F337" s="5" t="s">
        <v>105</v>
      </c>
      <c r="G337" s="5" t="s">
        <v>820</v>
      </c>
      <c r="H337" s="5" t="s">
        <v>821</v>
      </c>
      <c r="I337" s="5" t="s">
        <v>1586</v>
      </c>
      <c r="J337" s="5" t="s">
        <v>211</v>
      </c>
      <c r="K337" s="5" t="s">
        <v>602</v>
      </c>
      <c r="M337" s="5" t="s">
        <v>819</v>
      </c>
    </row>
    <row r="338" spans="1:17" ht="45" customHeight="1" x14ac:dyDescent="0.45">
      <c r="A338" s="5" t="s">
        <v>2137</v>
      </c>
      <c r="B338" s="5" t="s">
        <v>650</v>
      </c>
      <c r="C338" s="5" t="s">
        <v>827</v>
      </c>
      <c r="D338" s="8" t="s">
        <v>828</v>
      </c>
      <c r="E338" s="9" t="s">
        <v>826</v>
      </c>
      <c r="F338" s="5" t="s">
        <v>105</v>
      </c>
      <c r="G338" s="5" t="s">
        <v>825</v>
      </c>
      <c r="H338" s="5" t="s">
        <v>608</v>
      </c>
      <c r="I338" s="5" t="s">
        <v>1586</v>
      </c>
      <c r="J338" s="5" t="s">
        <v>211</v>
      </c>
      <c r="K338" s="5" t="s">
        <v>181</v>
      </c>
    </row>
    <row r="339" spans="1:17" ht="45" customHeight="1" x14ac:dyDescent="0.45">
      <c r="A339" s="5" t="s">
        <v>2138</v>
      </c>
      <c r="B339" s="5" t="s">
        <v>650</v>
      </c>
      <c r="C339" s="5" t="s">
        <v>31</v>
      </c>
      <c r="D339" s="8" t="s">
        <v>830</v>
      </c>
      <c r="E339" s="9" t="s">
        <v>831</v>
      </c>
      <c r="F339" s="5" t="s">
        <v>105</v>
      </c>
      <c r="G339" s="5" t="s">
        <v>829</v>
      </c>
      <c r="H339" s="5" t="s">
        <v>181</v>
      </c>
      <c r="I339" s="5" t="s">
        <v>1586</v>
      </c>
      <c r="J339" s="5" t="s">
        <v>211</v>
      </c>
      <c r="K339" s="5" t="s">
        <v>181</v>
      </c>
    </row>
    <row r="340" spans="1:17" ht="45" customHeight="1" x14ac:dyDescent="0.45">
      <c r="A340" s="5" t="s">
        <v>2139</v>
      </c>
      <c r="B340" s="5" t="s">
        <v>650</v>
      </c>
      <c r="C340" s="5" t="s">
        <v>834</v>
      </c>
      <c r="D340" s="8" t="s">
        <v>835</v>
      </c>
      <c r="E340" s="9" t="s">
        <v>836</v>
      </c>
      <c r="F340" s="5" t="s">
        <v>105</v>
      </c>
      <c r="G340" s="5" t="s">
        <v>833</v>
      </c>
      <c r="H340" s="5" t="s">
        <v>832</v>
      </c>
      <c r="I340" s="5" t="s">
        <v>1586</v>
      </c>
      <c r="J340" s="5" t="s">
        <v>211</v>
      </c>
      <c r="K340" s="5" t="s">
        <v>602</v>
      </c>
      <c r="M340" s="5" t="s">
        <v>819</v>
      </c>
    </row>
    <row r="341" spans="1:17" ht="45" customHeight="1" x14ac:dyDescent="0.45">
      <c r="A341" s="5" t="s">
        <v>2140</v>
      </c>
      <c r="B341" s="5" t="s">
        <v>650</v>
      </c>
      <c r="C341" s="5" t="s">
        <v>837</v>
      </c>
      <c r="D341" s="8" t="s">
        <v>843</v>
      </c>
      <c r="E341" s="9" t="s">
        <v>840</v>
      </c>
      <c r="F341" s="5" t="s">
        <v>839</v>
      </c>
      <c r="G341" s="5" t="s">
        <v>841</v>
      </c>
      <c r="H341" s="5" t="s">
        <v>608</v>
      </c>
      <c r="I341" s="5" t="s">
        <v>1586</v>
      </c>
      <c r="J341" s="5" t="s">
        <v>211</v>
      </c>
      <c r="K341" s="5" t="s">
        <v>181</v>
      </c>
    </row>
    <row r="342" spans="1:17" ht="45" customHeight="1" x14ac:dyDescent="0.45">
      <c r="A342" s="5" t="s">
        <v>2141</v>
      </c>
      <c r="B342" s="5" t="s">
        <v>650</v>
      </c>
      <c r="C342" s="5" t="s">
        <v>842</v>
      </c>
      <c r="D342" s="8" t="s">
        <v>844</v>
      </c>
      <c r="E342" s="9" t="s">
        <v>845</v>
      </c>
      <c r="F342" s="5" t="s">
        <v>105</v>
      </c>
      <c r="G342" s="5" t="s">
        <v>846</v>
      </c>
      <c r="H342" s="5" t="s">
        <v>847</v>
      </c>
      <c r="I342" s="5" t="s">
        <v>1586</v>
      </c>
      <c r="J342" s="5" t="s">
        <v>211</v>
      </c>
      <c r="K342" s="5" t="s">
        <v>603</v>
      </c>
    </row>
    <row r="343" spans="1:17" ht="45" customHeight="1" x14ac:dyDescent="0.45">
      <c r="A343" s="5" t="s">
        <v>2142</v>
      </c>
      <c r="B343" s="5" t="s">
        <v>650</v>
      </c>
      <c r="C343" s="5" t="s">
        <v>848</v>
      </c>
      <c r="D343" s="8" t="s">
        <v>849</v>
      </c>
      <c r="E343" s="9" t="s">
        <v>850</v>
      </c>
      <c r="F343" s="5" t="s">
        <v>105</v>
      </c>
      <c r="G343" s="5" t="s">
        <v>854</v>
      </c>
      <c r="H343" s="5" t="s">
        <v>608</v>
      </c>
      <c r="I343" s="5" t="s">
        <v>592</v>
      </c>
      <c r="J343" s="5" t="s">
        <v>232</v>
      </c>
      <c r="K343" s="5" t="s">
        <v>181</v>
      </c>
    </row>
    <row r="344" spans="1:17" ht="45" customHeight="1" x14ac:dyDescent="0.45">
      <c r="A344" s="5" t="s">
        <v>2143</v>
      </c>
      <c r="B344" s="5" t="s">
        <v>650</v>
      </c>
      <c r="C344" s="5" t="s">
        <v>838</v>
      </c>
      <c r="D344" s="8" t="s">
        <v>852</v>
      </c>
      <c r="E344" s="9" t="s">
        <v>853</v>
      </c>
      <c r="F344" s="5" t="s">
        <v>105</v>
      </c>
      <c r="G344" s="5" t="s">
        <v>851</v>
      </c>
      <c r="H344" s="5" t="s">
        <v>181</v>
      </c>
      <c r="I344" s="5" t="s">
        <v>592</v>
      </c>
      <c r="J344" s="5" t="s">
        <v>232</v>
      </c>
      <c r="K344" s="5" t="s">
        <v>181</v>
      </c>
    </row>
    <row r="345" spans="1:17" ht="45" customHeight="1" x14ac:dyDescent="0.45">
      <c r="A345" s="5" t="s">
        <v>2144</v>
      </c>
      <c r="B345" s="5" t="s">
        <v>650</v>
      </c>
      <c r="C345" s="5" t="s">
        <v>855</v>
      </c>
      <c r="D345" s="8" t="s">
        <v>856</v>
      </c>
      <c r="E345" s="9" t="s">
        <v>853</v>
      </c>
      <c r="F345" s="5" t="s">
        <v>105</v>
      </c>
      <c r="G345" s="5" t="s">
        <v>854</v>
      </c>
      <c r="H345" s="5" t="s">
        <v>608</v>
      </c>
      <c r="I345" s="5" t="s">
        <v>592</v>
      </c>
      <c r="J345" s="5" t="s">
        <v>232</v>
      </c>
      <c r="K345" s="5" t="s">
        <v>181</v>
      </c>
    </row>
    <row r="346" spans="1:17" ht="45" customHeight="1" x14ac:dyDescent="0.45">
      <c r="A346" s="5" t="s">
        <v>2145</v>
      </c>
      <c r="B346" s="5" t="s">
        <v>650</v>
      </c>
      <c r="C346" s="5" t="s">
        <v>858</v>
      </c>
      <c r="D346" s="8" t="s">
        <v>859</v>
      </c>
      <c r="E346" s="9" t="s">
        <v>860</v>
      </c>
      <c r="F346" s="5" t="s">
        <v>105</v>
      </c>
      <c r="G346" s="5" t="s">
        <v>857</v>
      </c>
      <c r="H346" s="5" t="s">
        <v>181</v>
      </c>
      <c r="I346" s="5" t="s">
        <v>1586</v>
      </c>
      <c r="J346" s="5" t="s">
        <v>211</v>
      </c>
      <c r="K346" s="5" t="s">
        <v>181</v>
      </c>
    </row>
    <row r="347" spans="1:17" ht="45" customHeight="1" x14ac:dyDescent="0.45">
      <c r="A347" s="5" t="s">
        <v>2146</v>
      </c>
      <c r="B347" s="5" t="s">
        <v>650</v>
      </c>
      <c r="C347" s="5" t="s">
        <v>865</v>
      </c>
      <c r="D347" s="8" t="s">
        <v>866</v>
      </c>
      <c r="E347" s="9" t="s">
        <v>864</v>
      </c>
      <c r="F347" s="5" t="s">
        <v>863</v>
      </c>
      <c r="G347" s="5" t="s">
        <v>861</v>
      </c>
      <c r="H347" s="5" t="s">
        <v>862</v>
      </c>
      <c r="I347" s="5" t="s">
        <v>592</v>
      </c>
      <c r="J347" s="5" t="s">
        <v>232</v>
      </c>
      <c r="K347" s="5" t="s">
        <v>181</v>
      </c>
    </row>
    <row r="348" spans="1:17" ht="45" customHeight="1" x14ac:dyDescent="0.45">
      <c r="A348" s="5" t="s">
        <v>2147</v>
      </c>
      <c r="B348" s="5" t="s">
        <v>650</v>
      </c>
      <c r="C348" s="5" t="s">
        <v>867</v>
      </c>
      <c r="D348" s="8" t="s">
        <v>868</v>
      </c>
      <c r="E348" s="9" t="s">
        <v>869</v>
      </c>
      <c r="F348" s="5" t="s">
        <v>105</v>
      </c>
      <c r="G348" s="5" t="s">
        <v>870</v>
      </c>
      <c r="H348" s="5" t="s">
        <v>870</v>
      </c>
      <c r="I348" s="5" t="s">
        <v>592</v>
      </c>
      <c r="J348" s="5" t="s">
        <v>232</v>
      </c>
      <c r="K348" s="5" t="s">
        <v>181</v>
      </c>
      <c r="Q348" s="5" t="s">
        <v>871</v>
      </c>
    </row>
    <row r="349" spans="1:17" ht="45" customHeight="1" x14ac:dyDescent="0.45">
      <c r="A349" s="5" t="s">
        <v>2148</v>
      </c>
      <c r="B349" s="5" t="s">
        <v>650</v>
      </c>
      <c r="C349" s="5" t="s">
        <v>872</v>
      </c>
      <c r="D349" s="8" t="s">
        <v>873</v>
      </c>
      <c r="E349" s="9" t="s">
        <v>874</v>
      </c>
      <c r="F349" s="5" t="s">
        <v>105</v>
      </c>
      <c r="G349" s="5" t="s">
        <v>854</v>
      </c>
      <c r="H349" s="5" t="s">
        <v>608</v>
      </c>
      <c r="I349" s="5" t="s">
        <v>592</v>
      </c>
      <c r="J349" s="5" t="s">
        <v>232</v>
      </c>
      <c r="K349" s="5" t="s">
        <v>181</v>
      </c>
    </row>
    <row r="350" spans="1:17" ht="45" customHeight="1" x14ac:dyDescent="0.45">
      <c r="A350" s="5" t="s">
        <v>2149</v>
      </c>
      <c r="B350" s="5" t="s">
        <v>650</v>
      </c>
      <c r="C350" s="5" t="s">
        <v>1396</v>
      </c>
      <c r="D350" s="8" t="s">
        <v>293</v>
      </c>
      <c r="E350" s="9" t="s">
        <v>1392</v>
      </c>
      <c r="F350" s="5" t="s">
        <v>1393</v>
      </c>
      <c r="G350" s="5" t="s">
        <v>1394</v>
      </c>
      <c r="H350" s="5" t="s">
        <v>1395</v>
      </c>
      <c r="I350" s="5" t="s">
        <v>1586</v>
      </c>
      <c r="J350" s="5" t="s">
        <v>211</v>
      </c>
    </row>
    <row r="351" spans="1:17" ht="45" customHeight="1" x14ac:dyDescent="0.45">
      <c r="A351" s="5" t="s">
        <v>2150</v>
      </c>
      <c r="B351" s="5" t="s">
        <v>650</v>
      </c>
      <c r="C351" s="5" t="s">
        <v>13</v>
      </c>
      <c r="D351" s="8" t="s">
        <v>877</v>
      </c>
      <c r="E351" s="9" t="s">
        <v>878</v>
      </c>
      <c r="F351" s="5" t="s">
        <v>105</v>
      </c>
      <c r="G351" s="5" t="s">
        <v>875</v>
      </c>
      <c r="H351" s="5" t="s">
        <v>876</v>
      </c>
      <c r="I351" s="5" t="s">
        <v>179</v>
      </c>
      <c r="J351" s="5" t="s">
        <v>181</v>
      </c>
      <c r="K351" s="5" t="s">
        <v>181</v>
      </c>
    </row>
    <row r="352" spans="1:17" ht="45" customHeight="1" x14ac:dyDescent="0.45">
      <c r="A352" s="5" t="s">
        <v>2151</v>
      </c>
      <c r="B352" s="5" t="s">
        <v>650</v>
      </c>
      <c r="C352" s="5" t="s">
        <v>14</v>
      </c>
      <c r="D352" s="8" t="s">
        <v>879</v>
      </c>
      <c r="E352" s="9" t="s">
        <v>880</v>
      </c>
      <c r="F352" s="5" t="s">
        <v>105</v>
      </c>
      <c r="G352" s="5" t="s">
        <v>833</v>
      </c>
      <c r="H352" s="5" t="s">
        <v>832</v>
      </c>
      <c r="I352" s="5" t="s">
        <v>1586</v>
      </c>
      <c r="J352" s="5" t="s">
        <v>211</v>
      </c>
      <c r="K352" s="5" t="s">
        <v>602</v>
      </c>
      <c r="M352" s="5" t="s">
        <v>819</v>
      </c>
    </row>
    <row r="353" spans="1:13" ht="45" customHeight="1" x14ac:dyDescent="0.45">
      <c r="A353" s="5" t="s">
        <v>2152</v>
      </c>
      <c r="B353" s="5" t="s">
        <v>650</v>
      </c>
      <c r="C353" s="5" t="s">
        <v>881</v>
      </c>
      <c r="D353" s="8" t="s">
        <v>882</v>
      </c>
      <c r="E353" s="9" t="s">
        <v>883</v>
      </c>
      <c r="F353" s="5" t="s">
        <v>105</v>
      </c>
      <c r="G353" s="5" t="s">
        <v>854</v>
      </c>
      <c r="H353" s="5" t="s">
        <v>608</v>
      </c>
      <c r="I353" s="5" t="s">
        <v>1586</v>
      </c>
      <c r="J353" s="5" t="s">
        <v>211</v>
      </c>
      <c r="K353" s="5" t="s">
        <v>181</v>
      </c>
    </row>
    <row r="354" spans="1:13" ht="45" customHeight="1" x14ac:dyDescent="0.45">
      <c r="A354" s="5" t="s">
        <v>2153</v>
      </c>
      <c r="B354" s="5" t="s">
        <v>650</v>
      </c>
      <c r="C354" s="5" t="s">
        <v>884</v>
      </c>
      <c r="D354" s="8" t="s">
        <v>885</v>
      </c>
      <c r="E354" s="9" t="s">
        <v>886</v>
      </c>
      <c r="F354" s="5" t="s">
        <v>105</v>
      </c>
      <c r="G354" s="5" t="s">
        <v>846</v>
      </c>
      <c r="H354" s="5" t="s">
        <v>847</v>
      </c>
      <c r="I354" s="5" t="s">
        <v>1586</v>
      </c>
      <c r="J354" s="5" t="s">
        <v>211</v>
      </c>
      <c r="K354" s="5" t="s">
        <v>603</v>
      </c>
    </row>
    <row r="355" spans="1:13" ht="45" customHeight="1" x14ac:dyDescent="0.45">
      <c r="A355" s="5" t="s">
        <v>2154</v>
      </c>
      <c r="B355" s="5" t="s">
        <v>650</v>
      </c>
      <c r="C355" s="5" t="s">
        <v>887</v>
      </c>
      <c r="D355" s="8" t="s">
        <v>888</v>
      </c>
      <c r="E355" s="9" t="s">
        <v>890</v>
      </c>
      <c r="F355" s="5" t="s">
        <v>105</v>
      </c>
      <c r="G355" s="5" t="s">
        <v>889</v>
      </c>
      <c r="H355" s="5" t="s">
        <v>608</v>
      </c>
      <c r="I355" s="5" t="s">
        <v>592</v>
      </c>
      <c r="J355" s="5" t="s">
        <v>232</v>
      </c>
      <c r="K355" s="5" t="s">
        <v>181</v>
      </c>
    </row>
    <row r="356" spans="1:13" ht="45" customHeight="1" x14ac:dyDescent="0.45">
      <c r="A356" s="5" t="s">
        <v>2155</v>
      </c>
      <c r="B356" s="5" t="s">
        <v>650</v>
      </c>
      <c r="C356" s="5" t="s">
        <v>893</v>
      </c>
      <c r="D356" s="8" t="s">
        <v>892</v>
      </c>
      <c r="E356" s="9" t="s">
        <v>894</v>
      </c>
      <c r="F356" s="5" t="s">
        <v>181</v>
      </c>
      <c r="G356" s="5" t="s">
        <v>891</v>
      </c>
      <c r="H356" s="5" t="s">
        <v>181</v>
      </c>
      <c r="I356" s="5" t="s">
        <v>179</v>
      </c>
      <c r="J356" s="5" t="s">
        <v>181</v>
      </c>
      <c r="K356" s="5" t="s">
        <v>181</v>
      </c>
    </row>
    <row r="357" spans="1:13" ht="45" customHeight="1" x14ac:dyDescent="0.45">
      <c r="A357" s="5" t="s">
        <v>2156</v>
      </c>
      <c r="B357" s="5" t="s">
        <v>650</v>
      </c>
      <c r="C357" s="5" t="s">
        <v>895</v>
      </c>
      <c r="D357" s="8" t="s">
        <v>896</v>
      </c>
      <c r="E357" s="9" t="s">
        <v>897</v>
      </c>
      <c r="F357" s="5" t="s">
        <v>105</v>
      </c>
      <c r="G357" s="5" t="s">
        <v>906</v>
      </c>
      <c r="H357" s="5" t="s">
        <v>908</v>
      </c>
      <c r="I357" s="5" t="s">
        <v>1586</v>
      </c>
      <c r="J357" s="5" t="s">
        <v>211</v>
      </c>
      <c r="K357" s="5" t="s">
        <v>602</v>
      </c>
      <c r="M357" s="5" t="s">
        <v>819</v>
      </c>
    </row>
    <row r="358" spans="1:13" ht="45" customHeight="1" x14ac:dyDescent="0.45">
      <c r="A358" s="5" t="s">
        <v>2157</v>
      </c>
      <c r="B358" s="5" t="s">
        <v>650</v>
      </c>
      <c r="C358" s="5" t="s">
        <v>900</v>
      </c>
      <c r="D358" s="8" t="s">
        <v>899</v>
      </c>
      <c r="E358" s="9" t="s">
        <v>901</v>
      </c>
      <c r="F358" s="5" t="s">
        <v>105</v>
      </c>
      <c r="G358" s="5" t="s">
        <v>854</v>
      </c>
      <c r="H358" s="5" t="s">
        <v>608</v>
      </c>
      <c r="I358" s="5" t="s">
        <v>1586</v>
      </c>
      <c r="J358" s="5" t="s">
        <v>211</v>
      </c>
      <c r="K358" s="5" t="s">
        <v>181</v>
      </c>
    </row>
    <row r="359" spans="1:13" ht="45" customHeight="1" x14ac:dyDescent="0.45">
      <c r="A359" s="5" t="s">
        <v>2158</v>
      </c>
      <c r="B359" s="5" t="s">
        <v>650</v>
      </c>
      <c r="C359" s="5" t="s">
        <v>898</v>
      </c>
      <c r="D359" s="8" t="s">
        <v>902</v>
      </c>
      <c r="E359" s="9" t="s">
        <v>903</v>
      </c>
      <c r="F359" s="5" t="s">
        <v>105</v>
      </c>
      <c r="G359" s="5" t="s">
        <v>854</v>
      </c>
      <c r="H359" s="5" t="s">
        <v>608</v>
      </c>
      <c r="I359" s="5" t="s">
        <v>592</v>
      </c>
      <c r="J359" s="5" t="s">
        <v>232</v>
      </c>
      <c r="K359" s="5" t="s">
        <v>181</v>
      </c>
    </row>
    <row r="360" spans="1:13" ht="45" customHeight="1" x14ac:dyDescent="0.45">
      <c r="A360" s="5" t="s">
        <v>2159</v>
      </c>
      <c r="B360" s="5" t="s">
        <v>650</v>
      </c>
      <c r="C360" s="5" t="s">
        <v>904</v>
      </c>
      <c r="D360" s="8" t="s">
        <v>905</v>
      </c>
      <c r="E360" s="9" t="s">
        <v>907</v>
      </c>
      <c r="F360" s="5" t="s">
        <v>105</v>
      </c>
      <c r="G360" s="5" t="s">
        <v>981</v>
      </c>
      <c r="H360" s="5" t="s">
        <v>908</v>
      </c>
      <c r="I360" s="5" t="s">
        <v>1586</v>
      </c>
      <c r="J360" s="5" t="s">
        <v>211</v>
      </c>
      <c r="K360" s="5" t="s">
        <v>602</v>
      </c>
      <c r="M360" s="5" t="s">
        <v>819</v>
      </c>
    </row>
    <row r="361" spans="1:13" ht="45" customHeight="1" x14ac:dyDescent="0.45">
      <c r="A361" s="5" t="s">
        <v>2160</v>
      </c>
      <c r="B361" s="5" t="s">
        <v>650</v>
      </c>
      <c r="C361" s="5" t="s">
        <v>1398</v>
      </c>
      <c r="D361" s="8" t="s">
        <v>268</v>
      </c>
      <c r="E361" s="9" t="s">
        <v>250</v>
      </c>
      <c r="F361" s="5" t="s">
        <v>105</v>
      </c>
      <c r="G361" s="5" t="s">
        <v>1397</v>
      </c>
      <c r="I361" s="5" t="s">
        <v>1586</v>
      </c>
      <c r="J361" s="5" t="s">
        <v>211</v>
      </c>
    </row>
    <row r="362" spans="1:13" ht="45" customHeight="1" x14ac:dyDescent="0.45">
      <c r="A362" s="5" t="s">
        <v>2161</v>
      </c>
      <c r="B362" s="5" t="s">
        <v>650</v>
      </c>
      <c r="C362" s="5" t="s">
        <v>909</v>
      </c>
      <c r="D362" s="8" t="s">
        <v>910</v>
      </c>
      <c r="E362" s="9" t="s">
        <v>907</v>
      </c>
      <c r="F362" s="5" t="s">
        <v>105</v>
      </c>
      <c r="G362" s="5" t="s">
        <v>981</v>
      </c>
      <c r="H362" s="5" t="s">
        <v>908</v>
      </c>
      <c r="I362" s="5" t="s">
        <v>592</v>
      </c>
      <c r="J362" s="5" t="s">
        <v>232</v>
      </c>
      <c r="K362" s="5" t="s">
        <v>602</v>
      </c>
      <c r="M362" s="5" t="s">
        <v>819</v>
      </c>
    </row>
    <row r="363" spans="1:13" ht="45" customHeight="1" x14ac:dyDescent="0.45">
      <c r="A363" s="5" t="s">
        <v>2162</v>
      </c>
      <c r="B363" s="5" t="s">
        <v>650</v>
      </c>
      <c r="C363" s="5" t="s">
        <v>911</v>
      </c>
      <c r="D363" s="8" t="s">
        <v>912</v>
      </c>
      <c r="E363" s="9" t="s">
        <v>913</v>
      </c>
      <c r="F363" s="5" t="s">
        <v>105</v>
      </c>
      <c r="G363" s="5" t="s">
        <v>854</v>
      </c>
      <c r="H363" s="5" t="s">
        <v>608</v>
      </c>
      <c r="I363" s="5" t="s">
        <v>592</v>
      </c>
      <c r="J363" s="5" t="s">
        <v>232</v>
      </c>
      <c r="K363" s="5" t="s">
        <v>181</v>
      </c>
    </row>
    <row r="364" spans="1:13" ht="45" customHeight="1" x14ac:dyDescent="0.45">
      <c r="A364" s="5" t="s">
        <v>2163</v>
      </c>
      <c r="B364" s="5" t="s">
        <v>650</v>
      </c>
      <c r="C364" s="5" t="s">
        <v>48</v>
      </c>
      <c r="D364" s="8" t="s">
        <v>914</v>
      </c>
      <c r="E364" s="9" t="s">
        <v>915</v>
      </c>
      <c r="F364" s="5" t="s">
        <v>105</v>
      </c>
      <c r="G364" s="5" t="s">
        <v>981</v>
      </c>
      <c r="H364" s="5" t="s">
        <v>908</v>
      </c>
      <c r="I364" s="5" t="s">
        <v>1586</v>
      </c>
      <c r="J364" s="5" t="s">
        <v>211</v>
      </c>
      <c r="K364" s="5" t="s">
        <v>602</v>
      </c>
      <c r="M364" s="5" t="s">
        <v>819</v>
      </c>
    </row>
    <row r="365" spans="1:13" ht="45" customHeight="1" x14ac:dyDescent="0.45">
      <c r="A365" s="5" t="s">
        <v>2164</v>
      </c>
      <c r="B365" s="5" t="s">
        <v>650</v>
      </c>
      <c r="C365" s="5" t="s">
        <v>917</v>
      </c>
      <c r="D365" s="8" t="s">
        <v>918</v>
      </c>
      <c r="E365" s="9" t="s">
        <v>919</v>
      </c>
      <c r="F365" s="5" t="s">
        <v>105</v>
      </c>
      <c r="G365" s="5" t="s">
        <v>916</v>
      </c>
      <c r="H365" s="5" t="s">
        <v>608</v>
      </c>
      <c r="I365" s="5" t="s">
        <v>1586</v>
      </c>
      <c r="J365" s="5" t="s">
        <v>211</v>
      </c>
      <c r="K365" s="5" t="s">
        <v>181</v>
      </c>
    </row>
    <row r="366" spans="1:13" ht="45" customHeight="1" x14ac:dyDescent="0.45">
      <c r="A366" s="5" t="s">
        <v>2165</v>
      </c>
      <c r="B366" s="5" t="s">
        <v>650</v>
      </c>
      <c r="C366" s="5" t="s">
        <v>920</v>
      </c>
      <c r="D366" s="8" t="s">
        <v>921</v>
      </c>
      <c r="E366" s="9" t="s">
        <v>923</v>
      </c>
      <c r="F366" s="5" t="s">
        <v>105</v>
      </c>
      <c r="G366" s="5" t="s">
        <v>922</v>
      </c>
      <c r="H366" s="5" t="s">
        <v>608</v>
      </c>
      <c r="I366" s="5" t="s">
        <v>1586</v>
      </c>
      <c r="J366" s="5" t="s">
        <v>211</v>
      </c>
      <c r="K366" s="5" t="s">
        <v>604</v>
      </c>
    </row>
    <row r="367" spans="1:13" ht="45" customHeight="1" x14ac:dyDescent="0.45">
      <c r="A367" s="5" t="s">
        <v>2166</v>
      </c>
      <c r="B367" s="5" t="s">
        <v>650</v>
      </c>
      <c r="C367" s="5" t="s">
        <v>926</v>
      </c>
      <c r="D367" s="8" t="s">
        <v>925</v>
      </c>
      <c r="E367" s="9" t="s">
        <v>924</v>
      </c>
      <c r="F367" s="5" t="s">
        <v>105</v>
      </c>
      <c r="G367" s="5" t="s">
        <v>927</v>
      </c>
      <c r="H367" s="5" t="s">
        <v>608</v>
      </c>
      <c r="I367" s="5" t="s">
        <v>1586</v>
      </c>
      <c r="J367" s="5" t="s">
        <v>211</v>
      </c>
      <c r="K367" s="5" t="s">
        <v>181</v>
      </c>
    </row>
    <row r="368" spans="1:13" ht="45" customHeight="1" x14ac:dyDescent="0.45">
      <c r="A368" s="5" t="s">
        <v>2167</v>
      </c>
      <c r="B368" s="5" t="s">
        <v>650</v>
      </c>
      <c r="C368" s="5" t="s">
        <v>928</v>
      </c>
      <c r="D368" s="8" t="s">
        <v>929</v>
      </c>
      <c r="E368" s="9" t="s">
        <v>930</v>
      </c>
      <c r="F368" s="5" t="s">
        <v>105</v>
      </c>
      <c r="G368" s="5" t="s">
        <v>981</v>
      </c>
      <c r="H368" s="5" t="s">
        <v>908</v>
      </c>
      <c r="I368" s="5" t="s">
        <v>1586</v>
      </c>
      <c r="J368" s="5" t="s">
        <v>211</v>
      </c>
      <c r="K368" s="5" t="s">
        <v>602</v>
      </c>
      <c r="M368" s="5" t="s">
        <v>819</v>
      </c>
    </row>
    <row r="369" spans="1:17" ht="45" customHeight="1" x14ac:dyDescent="0.45">
      <c r="A369" s="5" t="s">
        <v>2168</v>
      </c>
      <c r="B369" s="5" t="s">
        <v>650</v>
      </c>
      <c r="C369" s="5" t="s">
        <v>361</v>
      </c>
      <c r="D369" s="8" t="s">
        <v>295</v>
      </c>
      <c r="E369" s="9" t="s">
        <v>659</v>
      </c>
      <c r="F369" s="5" t="s">
        <v>105</v>
      </c>
      <c r="G369" s="5" t="s">
        <v>217</v>
      </c>
      <c r="H369" s="5" t="s">
        <v>218</v>
      </c>
      <c r="I369" s="5" t="s">
        <v>231</v>
      </c>
      <c r="J369" s="5" t="s">
        <v>1150</v>
      </c>
      <c r="K369" s="5" t="s">
        <v>606</v>
      </c>
    </row>
    <row r="370" spans="1:17" ht="45" customHeight="1" x14ac:dyDescent="0.45">
      <c r="A370" s="5" t="s">
        <v>2169</v>
      </c>
      <c r="B370" s="5" t="s">
        <v>650</v>
      </c>
      <c r="C370" s="5" t="s">
        <v>932</v>
      </c>
      <c r="D370" s="8" t="s">
        <v>933</v>
      </c>
      <c r="E370" s="9" t="s">
        <v>934</v>
      </c>
      <c r="F370" s="5" t="s">
        <v>105</v>
      </c>
      <c r="G370" s="5" t="s">
        <v>971</v>
      </c>
      <c r="H370" s="5" t="s">
        <v>931</v>
      </c>
      <c r="I370" s="5" t="s">
        <v>1586</v>
      </c>
      <c r="J370" s="5" t="s">
        <v>211</v>
      </c>
      <c r="K370" s="5" t="s">
        <v>181</v>
      </c>
    </row>
    <row r="371" spans="1:17" ht="45" customHeight="1" x14ac:dyDescent="0.45">
      <c r="A371" s="5" t="s">
        <v>2170</v>
      </c>
      <c r="B371" s="5" t="s">
        <v>650</v>
      </c>
      <c r="C371" s="5" t="s">
        <v>936</v>
      </c>
      <c r="D371" s="8" t="s">
        <v>935</v>
      </c>
      <c r="E371" s="9" t="s">
        <v>937</v>
      </c>
      <c r="F371" s="5" t="s">
        <v>105</v>
      </c>
      <c r="G371" s="5" t="s">
        <v>927</v>
      </c>
      <c r="H371" s="5" t="s">
        <v>608</v>
      </c>
      <c r="I371" s="5" t="s">
        <v>1586</v>
      </c>
      <c r="J371" s="5" t="s">
        <v>211</v>
      </c>
      <c r="K371" s="5" t="s">
        <v>181</v>
      </c>
    </row>
    <row r="372" spans="1:17" ht="45" customHeight="1" x14ac:dyDescent="0.45">
      <c r="A372" s="5" t="s">
        <v>2171</v>
      </c>
      <c r="B372" s="5" t="s">
        <v>650</v>
      </c>
      <c r="C372" s="5" t="s">
        <v>939</v>
      </c>
      <c r="D372" s="8" t="s">
        <v>940</v>
      </c>
      <c r="E372" s="9" t="s">
        <v>941</v>
      </c>
      <c r="F372" s="5" t="s">
        <v>105</v>
      </c>
      <c r="G372" s="5" t="s">
        <v>938</v>
      </c>
      <c r="H372" s="5" t="s">
        <v>181</v>
      </c>
      <c r="I372" s="5" t="s">
        <v>1586</v>
      </c>
      <c r="J372" s="5" t="s">
        <v>211</v>
      </c>
      <c r="K372" s="5" t="s">
        <v>181</v>
      </c>
    </row>
    <row r="373" spans="1:17" ht="45" customHeight="1" x14ac:dyDescent="0.45">
      <c r="A373" s="5" t="s">
        <v>2172</v>
      </c>
      <c r="B373" s="5" t="s">
        <v>650</v>
      </c>
      <c r="C373" s="5" t="s">
        <v>1400</v>
      </c>
      <c r="D373" s="8" t="s">
        <v>581</v>
      </c>
      <c r="E373" s="9" t="s">
        <v>1401</v>
      </c>
      <c r="F373" s="5" t="s">
        <v>105</v>
      </c>
      <c r="G373" s="5" t="s">
        <v>1399</v>
      </c>
      <c r="I373" s="5" t="s">
        <v>1586</v>
      </c>
      <c r="J373" s="5" t="s">
        <v>211</v>
      </c>
    </row>
    <row r="374" spans="1:17" ht="45" customHeight="1" x14ac:dyDescent="0.45">
      <c r="A374" s="5" t="s">
        <v>2173</v>
      </c>
      <c r="B374" s="5" t="s">
        <v>650</v>
      </c>
      <c r="C374" s="5" t="s">
        <v>942</v>
      </c>
      <c r="D374" s="8" t="s">
        <v>943</v>
      </c>
      <c r="E374" s="9" t="s">
        <v>944</v>
      </c>
      <c r="F374" s="5" t="s">
        <v>105</v>
      </c>
      <c r="G374" s="5" t="s">
        <v>829</v>
      </c>
      <c r="H374" s="5" t="s">
        <v>181</v>
      </c>
      <c r="I374" s="5" t="s">
        <v>1586</v>
      </c>
      <c r="J374" s="5" t="s">
        <v>211</v>
      </c>
      <c r="K374" s="5" t="s">
        <v>181</v>
      </c>
    </row>
    <row r="375" spans="1:17" ht="45" customHeight="1" x14ac:dyDescent="0.45">
      <c r="A375" s="5" t="s">
        <v>2174</v>
      </c>
      <c r="B375" s="5" t="s">
        <v>650</v>
      </c>
      <c r="C375" s="5" t="s">
        <v>945</v>
      </c>
      <c r="D375" s="8" t="s">
        <v>946</v>
      </c>
      <c r="E375" s="9" t="s">
        <v>948</v>
      </c>
      <c r="F375" s="5" t="s">
        <v>105</v>
      </c>
      <c r="G375" s="5" t="s">
        <v>947</v>
      </c>
      <c r="H375" s="5" t="s">
        <v>181</v>
      </c>
      <c r="I375" s="5" t="s">
        <v>1586</v>
      </c>
      <c r="J375" s="5" t="s">
        <v>211</v>
      </c>
      <c r="K375" s="5" t="s">
        <v>181</v>
      </c>
    </row>
    <row r="376" spans="1:17" ht="45" customHeight="1" x14ac:dyDescent="0.45">
      <c r="A376" s="5" t="s">
        <v>2175</v>
      </c>
      <c r="B376" s="5" t="s">
        <v>650</v>
      </c>
      <c r="C376" s="5" t="s">
        <v>949</v>
      </c>
      <c r="D376" s="8" t="s">
        <v>950</v>
      </c>
      <c r="E376" s="9" t="s">
        <v>955</v>
      </c>
      <c r="F376" s="5" t="s">
        <v>105</v>
      </c>
      <c r="G376" s="5" t="s">
        <v>179</v>
      </c>
      <c r="H376" s="5" t="s">
        <v>954</v>
      </c>
      <c r="I376" s="5" t="s">
        <v>592</v>
      </c>
      <c r="J376" s="5" t="s">
        <v>232</v>
      </c>
      <c r="K376" s="5" t="s">
        <v>621</v>
      </c>
      <c r="O376" s="5" t="s">
        <v>951</v>
      </c>
      <c r="P376" s="5" t="s">
        <v>952</v>
      </c>
      <c r="Q376" s="5" t="s">
        <v>953</v>
      </c>
    </row>
    <row r="377" spans="1:17" ht="45" customHeight="1" x14ac:dyDescent="0.45">
      <c r="A377" s="5" t="s">
        <v>2176</v>
      </c>
      <c r="B377" s="5" t="s">
        <v>650</v>
      </c>
      <c r="C377" s="5" t="s">
        <v>956</v>
      </c>
      <c r="D377" s="8" t="s">
        <v>957</v>
      </c>
      <c r="E377" s="9" t="s">
        <v>958</v>
      </c>
      <c r="F377" s="5" t="s">
        <v>105</v>
      </c>
      <c r="G377" s="5" t="s">
        <v>981</v>
      </c>
      <c r="H377" s="5" t="s">
        <v>908</v>
      </c>
      <c r="I377" s="5" t="s">
        <v>231</v>
      </c>
      <c r="J377" s="5" t="s">
        <v>1150</v>
      </c>
      <c r="K377" s="5" t="s">
        <v>602</v>
      </c>
      <c r="M377" s="5" t="s">
        <v>819</v>
      </c>
    </row>
    <row r="378" spans="1:17" ht="45" customHeight="1" x14ac:dyDescent="0.45">
      <c r="A378" s="5" t="s">
        <v>2177</v>
      </c>
      <c r="B378" s="5" t="s">
        <v>650</v>
      </c>
      <c r="C378" s="5" t="s">
        <v>959</v>
      </c>
      <c r="D378" s="8" t="s">
        <v>960</v>
      </c>
      <c r="E378" s="9" t="s">
        <v>961</v>
      </c>
      <c r="F378" s="5" t="s">
        <v>105</v>
      </c>
      <c r="G378" s="5" t="s">
        <v>981</v>
      </c>
      <c r="H378" s="5" t="s">
        <v>908</v>
      </c>
      <c r="I378" s="5" t="s">
        <v>1586</v>
      </c>
      <c r="J378" s="5" t="s">
        <v>211</v>
      </c>
      <c r="K378" s="5" t="s">
        <v>602</v>
      </c>
      <c r="M378" s="5" t="s">
        <v>819</v>
      </c>
    </row>
    <row r="379" spans="1:17" ht="45" customHeight="1" x14ac:dyDescent="0.45">
      <c r="A379" s="5" t="s">
        <v>2178</v>
      </c>
      <c r="B379" s="5" t="s">
        <v>650</v>
      </c>
      <c r="C379" s="5" t="s">
        <v>962</v>
      </c>
      <c r="D379" s="8" t="s">
        <v>963</v>
      </c>
      <c r="E379" s="9" t="s">
        <v>964</v>
      </c>
      <c r="F379" s="5" t="s">
        <v>105</v>
      </c>
      <c r="G379" s="5" t="s">
        <v>981</v>
      </c>
      <c r="H379" s="5" t="s">
        <v>908</v>
      </c>
      <c r="I379" s="5" t="s">
        <v>1586</v>
      </c>
      <c r="J379" s="5" t="s">
        <v>211</v>
      </c>
      <c r="K379" s="5" t="s">
        <v>602</v>
      </c>
      <c r="M379" s="5" t="s">
        <v>819</v>
      </c>
    </row>
    <row r="380" spans="1:17" ht="45" customHeight="1" x14ac:dyDescent="0.45">
      <c r="A380" s="5" t="s">
        <v>2179</v>
      </c>
      <c r="B380" s="5" t="s">
        <v>650</v>
      </c>
      <c r="C380" s="5" t="s">
        <v>965</v>
      </c>
      <c r="D380" s="8" t="s">
        <v>966</v>
      </c>
      <c r="E380" s="9" t="s">
        <v>967</v>
      </c>
      <c r="F380" s="5" t="s">
        <v>105</v>
      </c>
      <c r="G380" s="5" t="s">
        <v>916</v>
      </c>
      <c r="H380" s="5" t="s">
        <v>181</v>
      </c>
      <c r="I380" s="5" t="s">
        <v>1586</v>
      </c>
      <c r="J380" s="5" t="s">
        <v>211</v>
      </c>
      <c r="K380" s="5" t="s">
        <v>181</v>
      </c>
    </row>
    <row r="381" spans="1:17" ht="45" customHeight="1" x14ac:dyDescent="0.45">
      <c r="A381" s="5" t="s">
        <v>2180</v>
      </c>
      <c r="B381" s="5" t="s">
        <v>650</v>
      </c>
      <c r="C381" s="5" t="s">
        <v>262</v>
      </c>
      <c r="D381" s="8" t="s">
        <v>270</v>
      </c>
      <c r="E381" s="9" t="s">
        <v>660</v>
      </c>
      <c r="F381" s="5" t="s">
        <v>105</v>
      </c>
      <c r="G381" s="5" t="s">
        <v>217</v>
      </c>
      <c r="H381" s="5" t="s">
        <v>218</v>
      </c>
      <c r="I381" s="5" t="s">
        <v>231</v>
      </c>
      <c r="J381" s="5" t="s">
        <v>1150</v>
      </c>
      <c r="K381" s="5" t="s">
        <v>606</v>
      </c>
    </row>
    <row r="382" spans="1:17" ht="45" customHeight="1" x14ac:dyDescent="0.45">
      <c r="A382" s="5" t="s">
        <v>2181</v>
      </c>
      <c r="B382" s="5" t="s">
        <v>650</v>
      </c>
      <c r="C382" s="5" t="s">
        <v>968</v>
      </c>
      <c r="D382" s="8" t="s">
        <v>969</v>
      </c>
      <c r="E382" s="9" t="s">
        <v>970</v>
      </c>
      <c r="F382" s="5" t="s">
        <v>105</v>
      </c>
      <c r="G382" s="5" t="s">
        <v>971</v>
      </c>
      <c r="H382" s="5" t="s">
        <v>931</v>
      </c>
      <c r="I382" s="5" t="s">
        <v>592</v>
      </c>
      <c r="J382" s="5" t="s">
        <v>232</v>
      </c>
      <c r="K382" s="5" t="s">
        <v>181</v>
      </c>
    </row>
    <row r="383" spans="1:17" ht="45" customHeight="1" x14ac:dyDescent="0.45">
      <c r="A383" s="5" t="s">
        <v>2182</v>
      </c>
      <c r="B383" s="5" t="s">
        <v>650</v>
      </c>
      <c r="C383" s="5" t="s">
        <v>972</v>
      </c>
      <c r="D383" s="8" t="s">
        <v>973</v>
      </c>
      <c r="E383" s="9" t="s">
        <v>970</v>
      </c>
      <c r="F383" s="5" t="s">
        <v>105</v>
      </c>
      <c r="G383" s="5" t="s">
        <v>971</v>
      </c>
      <c r="H383" s="5" t="s">
        <v>931</v>
      </c>
      <c r="I383" s="5" t="s">
        <v>1586</v>
      </c>
      <c r="J383" s="5" t="s">
        <v>211</v>
      </c>
      <c r="K383" s="5" t="s">
        <v>181</v>
      </c>
    </row>
    <row r="384" spans="1:17" ht="45" customHeight="1" x14ac:dyDescent="0.45">
      <c r="A384" s="5" t="s">
        <v>2183</v>
      </c>
      <c r="B384" s="5" t="s">
        <v>650</v>
      </c>
      <c r="C384" s="5" t="s">
        <v>975</v>
      </c>
      <c r="D384" s="8" t="s">
        <v>974</v>
      </c>
      <c r="E384" s="9" t="s">
        <v>976</v>
      </c>
      <c r="F384" s="5" t="s">
        <v>105</v>
      </c>
      <c r="G384" s="5" t="s">
        <v>981</v>
      </c>
      <c r="H384" s="5" t="s">
        <v>908</v>
      </c>
      <c r="I384" s="5" t="s">
        <v>592</v>
      </c>
      <c r="J384" s="5" t="s">
        <v>232</v>
      </c>
      <c r="K384" s="5" t="s">
        <v>602</v>
      </c>
      <c r="M384" s="5" t="s">
        <v>819</v>
      </c>
    </row>
    <row r="385" spans="1:17" ht="45" customHeight="1" x14ac:dyDescent="0.45">
      <c r="A385" s="5" t="s">
        <v>2184</v>
      </c>
      <c r="B385" s="5" t="s">
        <v>650</v>
      </c>
      <c r="C385" s="5" t="s">
        <v>977</v>
      </c>
      <c r="D385" s="8" t="s">
        <v>978</v>
      </c>
      <c r="E385" s="9" t="s">
        <v>986</v>
      </c>
      <c r="F385" s="5" t="s">
        <v>105</v>
      </c>
      <c r="G385" s="5" t="s">
        <v>981</v>
      </c>
      <c r="H385" s="5" t="s">
        <v>908</v>
      </c>
      <c r="I385" s="5" t="s">
        <v>1586</v>
      </c>
      <c r="J385" s="5" t="s">
        <v>211</v>
      </c>
      <c r="K385" s="5" t="s">
        <v>602</v>
      </c>
      <c r="M385" s="5" t="s">
        <v>819</v>
      </c>
    </row>
    <row r="386" spans="1:17" ht="45" customHeight="1" x14ac:dyDescent="0.45">
      <c r="A386" s="5" t="s">
        <v>2185</v>
      </c>
      <c r="B386" s="5" t="s">
        <v>650</v>
      </c>
      <c r="C386" s="5" t="s">
        <v>979</v>
      </c>
      <c r="D386" s="8" t="s">
        <v>980</v>
      </c>
      <c r="E386" s="9" t="s">
        <v>985</v>
      </c>
      <c r="F386" s="5" t="s">
        <v>105</v>
      </c>
      <c r="G386" s="5" t="s">
        <v>981</v>
      </c>
      <c r="H386" s="5" t="s">
        <v>908</v>
      </c>
      <c r="I386" s="5" t="s">
        <v>1586</v>
      </c>
      <c r="J386" s="5" t="s">
        <v>211</v>
      </c>
      <c r="K386" s="5" t="s">
        <v>602</v>
      </c>
      <c r="M386" s="5" t="s">
        <v>819</v>
      </c>
    </row>
    <row r="387" spans="1:17" ht="45" customHeight="1" x14ac:dyDescent="0.45">
      <c r="A387" s="5" t="s">
        <v>2186</v>
      </c>
      <c r="B387" s="5" t="s">
        <v>650</v>
      </c>
      <c r="C387" s="5" t="s">
        <v>1402</v>
      </c>
      <c r="D387" s="8" t="s">
        <v>363</v>
      </c>
      <c r="E387" s="9" t="s">
        <v>1403</v>
      </c>
      <c r="F387" s="5" t="s">
        <v>105</v>
      </c>
      <c r="G387" s="5" t="s">
        <v>1405</v>
      </c>
      <c r="I387" s="5" t="s">
        <v>1586</v>
      </c>
      <c r="J387" s="5" t="s">
        <v>211</v>
      </c>
      <c r="Q387" s="5" t="s">
        <v>1404</v>
      </c>
    </row>
    <row r="388" spans="1:17" ht="45" customHeight="1" x14ac:dyDescent="0.45">
      <c r="A388" s="5" t="s">
        <v>2187</v>
      </c>
      <c r="B388" s="5" t="s">
        <v>650</v>
      </c>
      <c r="C388" s="5" t="s">
        <v>294</v>
      </c>
      <c r="D388" s="8" t="s">
        <v>363</v>
      </c>
      <c r="E388" s="9" t="s">
        <v>660</v>
      </c>
      <c r="F388" s="5" t="s">
        <v>105</v>
      </c>
      <c r="G388" s="5" t="s">
        <v>217</v>
      </c>
      <c r="H388" s="5" t="s">
        <v>218</v>
      </c>
      <c r="I388" s="5" t="s">
        <v>1586</v>
      </c>
      <c r="J388" s="5" t="s">
        <v>211</v>
      </c>
      <c r="K388" s="5" t="s">
        <v>606</v>
      </c>
    </row>
    <row r="389" spans="1:17" ht="45" customHeight="1" x14ac:dyDescent="0.45">
      <c r="A389" s="5" t="s">
        <v>2188</v>
      </c>
      <c r="B389" s="5" t="s">
        <v>650</v>
      </c>
      <c r="C389" s="5" t="s">
        <v>983</v>
      </c>
      <c r="D389" s="8" t="s">
        <v>982</v>
      </c>
      <c r="E389" s="9" t="s">
        <v>984</v>
      </c>
      <c r="F389" s="5" t="s">
        <v>105</v>
      </c>
      <c r="G389" s="5" t="s">
        <v>981</v>
      </c>
      <c r="H389" s="5" t="s">
        <v>908</v>
      </c>
      <c r="I389" s="5" t="s">
        <v>1586</v>
      </c>
      <c r="J389" s="5" t="s">
        <v>211</v>
      </c>
      <c r="K389" s="5" t="s">
        <v>602</v>
      </c>
      <c r="M389" s="5" t="s">
        <v>819</v>
      </c>
    </row>
    <row r="390" spans="1:17" ht="45" customHeight="1" x14ac:dyDescent="0.45">
      <c r="A390" s="5" t="s">
        <v>2189</v>
      </c>
      <c r="B390" s="5" t="s">
        <v>650</v>
      </c>
      <c r="C390" s="5" t="s">
        <v>988</v>
      </c>
      <c r="D390" s="8" t="s">
        <v>987</v>
      </c>
      <c r="E390" s="9" t="s">
        <v>989</v>
      </c>
      <c r="F390" s="5" t="s">
        <v>990</v>
      </c>
      <c r="G390" s="5" t="s">
        <v>991</v>
      </c>
      <c r="H390" s="5" t="s">
        <v>181</v>
      </c>
      <c r="I390" s="5" t="s">
        <v>1586</v>
      </c>
      <c r="J390" s="5" t="s">
        <v>211</v>
      </c>
      <c r="K390" s="5" t="s">
        <v>181</v>
      </c>
    </row>
    <row r="391" spans="1:17" ht="45" customHeight="1" x14ac:dyDescent="0.45">
      <c r="A391" s="5" t="s">
        <v>2190</v>
      </c>
      <c r="B391" s="5" t="s">
        <v>650</v>
      </c>
      <c r="C391" s="5" t="s">
        <v>993</v>
      </c>
      <c r="D391" s="8" t="s">
        <v>992</v>
      </c>
      <c r="E391" s="9" t="s">
        <v>994</v>
      </c>
      <c r="F391" s="5" t="s">
        <v>105</v>
      </c>
      <c r="G391" s="5" t="s">
        <v>971</v>
      </c>
      <c r="H391" s="5" t="s">
        <v>931</v>
      </c>
      <c r="I391" s="5" t="s">
        <v>1586</v>
      </c>
      <c r="J391" s="5" t="s">
        <v>211</v>
      </c>
      <c r="K391" s="5" t="s">
        <v>181</v>
      </c>
      <c r="O391" s="5" t="s">
        <v>996</v>
      </c>
      <c r="P391" s="5" t="s">
        <v>995</v>
      </c>
    </row>
    <row r="392" spans="1:17" ht="45" customHeight="1" x14ac:dyDescent="0.45">
      <c r="A392" s="5" t="s">
        <v>2191</v>
      </c>
      <c r="B392" s="5" t="s">
        <v>650</v>
      </c>
      <c r="C392" s="5" t="s">
        <v>1000</v>
      </c>
      <c r="D392" s="8" t="s">
        <v>1001</v>
      </c>
      <c r="E392" s="9" t="s">
        <v>999</v>
      </c>
      <c r="F392" s="5" t="s">
        <v>105</v>
      </c>
      <c r="G392" s="5" t="s">
        <v>971</v>
      </c>
      <c r="H392" s="5" t="s">
        <v>931</v>
      </c>
      <c r="I392" s="5" t="s">
        <v>592</v>
      </c>
      <c r="J392" s="5" t="s">
        <v>232</v>
      </c>
      <c r="K392" s="5" t="s">
        <v>181</v>
      </c>
      <c r="O392" s="5" t="s">
        <v>997</v>
      </c>
      <c r="P392" s="5" t="s">
        <v>998</v>
      </c>
    </row>
    <row r="393" spans="1:17" ht="45" customHeight="1" x14ac:dyDescent="0.45">
      <c r="A393" s="5" t="s">
        <v>2192</v>
      </c>
      <c r="B393" s="5" t="s">
        <v>650</v>
      </c>
      <c r="C393" s="5" t="s">
        <v>1002</v>
      </c>
      <c r="D393" s="8" t="s">
        <v>1003</v>
      </c>
      <c r="E393" s="9" t="s">
        <v>1005</v>
      </c>
      <c r="F393" s="5" t="s">
        <v>105</v>
      </c>
      <c r="G393" s="5" t="s">
        <v>245</v>
      </c>
      <c r="H393" s="5" t="s">
        <v>1006</v>
      </c>
      <c r="I393" s="5" t="s">
        <v>592</v>
      </c>
      <c r="J393" s="5" t="s">
        <v>232</v>
      </c>
      <c r="K393" s="5" t="s">
        <v>602</v>
      </c>
      <c r="M393" s="5" t="s">
        <v>819</v>
      </c>
    </row>
    <row r="394" spans="1:17" ht="45" customHeight="1" x14ac:dyDescent="0.45">
      <c r="A394" s="5" t="s">
        <v>2193</v>
      </c>
      <c r="B394" s="5" t="s">
        <v>650</v>
      </c>
      <c r="C394" s="5" t="s">
        <v>1004</v>
      </c>
      <c r="D394" s="8" t="s">
        <v>1021</v>
      </c>
      <c r="E394" s="9" t="s">
        <v>1005</v>
      </c>
      <c r="F394" s="5" t="s">
        <v>105</v>
      </c>
      <c r="G394" s="5" t="s">
        <v>245</v>
      </c>
      <c r="H394" s="5" t="s">
        <v>1006</v>
      </c>
      <c r="I394" s="5" t="s">
        <v>1586</v>
      </c>
      <c r="J394" s="5" t="s">
        <v>211</v>
      </c>
      <c r="K394" s="5" t="s">
        <v>602</v>
      </c>
      <c r="M394" s="5" t="s">
        <v>819</v>
      </c>
    </row>
    <row r="395" spans="1:17" ht="45" customHeight="1" x14ac:dyDescent="0.45">
      <c r="A395" s="5" t="s">
        <v>2194</v>
      </c>
      <c r="B395" s="5" t="s">
        <v>650</v>
      </c>
      <c r="C395" s="5" t="s">
        <v>566</v>
      </c>
      <c r="D395" s="8" t="s">
        <v>1022</v>
      </c>
      <c r="E395" s="9" t="s">
        <v>1005</v>
      </c>
      <c r="F395" s="5" t="s">
        <v>105</v>
      </c>
      <c r="G395" s="5" t="s">
        <v>245</v>
      </c>
      <c r="H395" s="5" t="s">
        <v>1006</v>
      </c>
      <c r="I395" s="5" t="s">
        <v>662</v>
      </c>
      <c r="J395" s="5" t="s">
        <v>401</v>
      </c>
      <c r="K395" s="5" t="s">
        <v>602</v>
      </c>
      <c r="M395" s="5" t="s">
        <v>819</v>
      </c>
      <c r="Q395" s="5" t="s">
        <v>1007</v>
      </c>
    </row>
    <row r="396" spans="1:17" ht="45" customHeight="1" x14ac:dyDescent="0.45">
      <c r="A396" s="5" t="s">
        <v>2195</v>
      </c>
      <c r="B396" s="5" t="s">
        <v>650</v>
      </c>
      <c r="C396" s="5" t="s">
        <v>1008</v>
      </c>
      <c r="D396" s="8" t="s">
        <v>1013</v>
      </c>
      <c r="E396" s="9" t="s">
        <v>1010</v>
      </c>
      <c r="F396" s="5" t="s">
        <v>105</v>
      </c>
      <c r="G396" s="5" t="s">
        <v>245</v>
      </c>
      <c r="H396" s="5" t="s">
        <v>245</v>
      </c>
      <c r="I396" s="5" t="s">
        <v>592</v>
      </c>
      <c r="J396" s="5" t="s">
        <v>232</v>
      </c>
      <c r="K396" s="5" t="s">
        <v>181</v>
      </c>
    </row>
    <row r="397" spans="1:17" ht="45" customHeight="1" x14ac:dyDescent="0.45">
      <c r="A397" s="5" t="s">
        <v>2196</v>
      </c>
      <c r="B397" s="5" t="s">
        <v>650</v>
      </c>
      <c r="C397" s="5" t="s">
        <v>1406</v>
      </c>
      <c r="D397" s="8" t="s">
        <v>272</v>
      </c>
      <c r="E397" s="9" t="s">
        <v>1407</v>
      </c>
      <c r="F397" s="5" t="s">
        <v>105</v>
      </c>
      <c r="G397" s="5" t="s">
        <v>1408</v>
      </c>
      <c r="I397" s="5" t="s">
        <v>1586</v>
      </c>
      <c r="J397" s="5" t="s">
        <v>211</v>
      </c>
    </row>
    <row r="398" spans="1:17" ht="45" customHeight="1" x14ac:dyDescent="0.45">
      <c r="A398" s="5" t="s">
        <v>2197</v>
      </c>
      <c r="B398" s="5" t="s">
        <v>650</v>
      </c>
      <c r="C398" s="5" t="s">
        <v>264</v>
      </c>
      <c r="D398" s="8" t="s">
        <v>272</v>
      </c>
      <c r="E398" s="9" t="s">
        <v>661</v>
      </c>
      <c r="F398" s="5" t="s">
        <v>105</v>
      </c>
      <c r="G398" s="5" t="s">
        <v>217</v>
      </c>
      <c r="H398" s="5" t="s">
        <v>218</v>
      </c>
      <c r="I398" s="5" t="s">
        <v>1586</v>
      </c>
      <c r="J398" s="5" t="s">
        <v>211</v>
      </c>
      <c r="K398" s="5" t="s">
        <v>606</v>
      </c>
    </row>
    <row r="399" spans="1:17" ht="45" customHeight="1" x14ac:dyDescent="0.45">
      <c r="A399" s="5" t="s">
        <v>2198</v>
      </c>
      <c r="B399" s="5" t="s">
        <v>650</v>
      </c>
      <c r="C399" s="5" t="s">
        <v>1009</v>
      </c>
      <c r="D399" s="8" t="s">
        <v>1016</v>
      </c>
      <c r="E399" s="9" t="s">
        <v>1011</v>
      </c>
      <c r="F399" s="5" t="s">
        <v>105</v>
      </c>
      <c r="G399" s="5" t="s">
        <v>245</v>
      </c>
      <c r="H399" s="5" t="s">
        <v>245</v>
      </c>
      <c r="I399" s="5" t="s">
        <v>592</v>
      </c>
      <c r="J399" s="5" t="s">
        <v>232</v>
      </c>
      <c r="K399" s="5" t="s">
        <v>181</v>
      </c>
    </row>
    <row r="400" spans="1:17" ht="45" customHeight="1" x14ac:dyDescent="0.45">
      <c r="A400" s="5" t="s">
        <v>2199</v>
      </c>
      <c r="B400" s="5" t="s">
        <v>650</v>
      </c>
      <c r="C400" s="5" t="s">
        <v>1012</v>
      </c>
      <c r="D400" s="8" t="s">
        <v>1018</v>
      </c>
      <c r="E400" s="9" t="s">
        <v>1014</v>
      </c>
      <c r="F400" s="5" t="s">
        <v>105</v>
      </c>
      <c r="G400" s="5" t="s">
        <v>245</v>
      </c>
      <c r="H400" s="5" t="s">
        <v>1006</v>
      </c>
      <c r="I400" s="5" t="s">
        <v>1586</v>
      </c>
      <c r="J400" s="5" t="s">
        <v>211</v>
      </c>
      <c r="K400" s="5" t="s">
        <v>602</v>
      </c>
      <c r="M400" s="5" t="s">
        <v>819</v>
      </c>
    </row>
    <row r="401" spans="1:17" ht="45" customHeight="1" x14ac:dyDescent="0.45">
      <c r="A401" s="5" t="s">
        <v>2200</v>
      </c>
      <c r="B401" s="5" t="s">
        <v>650</v>
      </c>
      <c r="C401" s="5" t="s">
        <v>1015</v>
      </c>
      <c r="D401" s="8" t="s">
        <v>1017</v>
      </c>
      <c r="E401" s="9" t="s">
        <v>1019</v>
      </c>
      <c r="F401" s="5" t="s">
        <v>105</v>
      </c>
      <c r="G401" s="5" t="s">
        <v>179</v>
      </c>
      <c r="H401" s="5" t="s">
        <v>1006</v>
      </c>
      <c r="I401" s="5" t="s">
        <v>592</v>
      </c>
      <c r="J401" s="5" t="s">
        <v>232</v>
      </c>
      <c r="K401" s="5" t="s">
        <v>602</v>
      </c>
      <c r="M401" s="5" t="s">
        <v>819</v>
      </c>
    </row>
    <row r="402" spans="1:17" ht="45" customHeight="1" x14ac:dyDescent="0.45">
      <c r="A402" s="5" t="s">
        <v>2201</v>
      </c>
      <c r="B402" s="5" t="s">
        <v>650</v>
      </c>
      <c r="C402" s="5" t="s">
        <v>1023</v>
      </c>
      <c r="D402" s="8" t="s">
        <v>1024</v>
      </c>
      <c r="E402" s="9" t="s">
        <v>1020</v>
      </c>
      <c r="F402" s="5" t="s">
        <v>1025</v>
      </c>
      <c r="G402" s="5" t="s">
        <v>1026</v>
      </c>
      <c r="H402" s="5" t="s">
        <v>181</v>
      </c>
      <c r="I402" s="5" t="s">
        <v>1586</v>
      </c>
      <c r="J402" s="5" t="s">
        <v>211</v>
      </c>
      <c r="K402" s="5" t="s">
        <v>181</v>
      </c>
    </row>
    <row r="403" spans="1:17" ht="45" customHeight="1" x14ac:dyDescent="0.45">
      <c r="A403" s="5" t="s">
        <v>2202</v>
      </c>
      <c r="B403" s="5" t="s">
        <v>650</v>
      </c>
      <c r="C403" s="5" t="s">
        <v>1027</v>
      </c>
      <c r="D403" s="8" t="s">
        <v>1028</v>
      </c>
      <c r="E403" s="9" t="s">
        <v>1029</v>
      </c>
      <c r="F403" s="5" t="s">
        <v>105</v>
      </c>
      <c r="G403" s="5" t="s">
        <v>1030</v>
      </c>
      <c r="H403" s="5" t="s">
        <v>1349</v>
      </c>
      <c r="I403" s="5" t="s">
        <v>1586</v>
      </c>
      <c r="J403" s="5" t="s">
        <v>211</v>
      </c>
      <c r="K403" s="5" t="s">
        <v>181</v>
      </c>
    </row>
    <row r="404" spans="1:17" ht="45" customHeight="1" x14ac:dyDescent="0.45">
      <c r="A404" s="5" t="s">
        <v>2203</v>
      </c>
      <c r="B404" s="5" t="s">
        <v>650</v>
      </c>
      <c r="C404" s="5" t="s">
        <v>1031</v>
      </c>
      <c r="D404" s="8" t="s">
        <v>1032</v>
      </c>
      <c r="E404" s="9" t="s">
        <v>1034</v>
      </c>
      <c r="F404" s="5" t="s">
        <v>105</v>
      </c>
      <c r="G404" s="5" t="s">
        <v>1033</v>
      </c>
      <c r="H404" s="5" t="s">
        <v>181</v>
      </c>
      <c r="I404" s="5" t="s">
        <v>1586</v>
      </c>
      <c r="J404" s="5" t="s">
        <v>211</v>
      </c>
      <c r="K404" s="5" t="s">
        <v>181</v>
      </c>
    </row>
    <row r="405" spans="1:17" ht="45" customHeight="1" x14ac:dyDescent="0.45">
      <c r="A405" s="5" t="s">
        <v>2204</v>
      </c>
      <c r="B405" s="5" t="s">
        <v>650</v>
      </c>
      <c r="C405" s="5" t="s">
        <v>1035</v>
      </c>
      <c r="D405" s="8" t="s">
        <v>1036</v>
      </c>
      <c r="E405" s="9" t="s">
        <v>1038</v>
      </c>
      <c r="F405" s="5" t="s">
        <v>105</v>
      </c>
      <c r="G405" s="5" t="s">
        <v>1037</v>
      </c>
      <c r="H405" s="5" t="s">
        <v>608</v>
      </c>
      <c r="I405" s="5" t="s">
        <v>1586</v>
      </c>
      <c r="J405" s="5" t="s">
        <v>211</v>
      </c>
      <c r="K405" s="5" t="s">
        <v>181</v>
      </c>
      <c r="O405" s="5" t="s">
        <v>1041</v>
      </c>
      <c r="P405" s="5" t="s">
        <v>1042</v>
      </c>
    </row>
    <row r="406" spans="1:17" ht="45" customHeight="1" x14ac:dyDescent="0.45">
      <c r="A406" s="5" t="s">
        <v>2205</v>
      </c>
      <c r="B406" s="5" t="s">
        <v>650</v>
      </c>
      <c r="C406" s="5" t="s">
        <v>1039</v>
      </c>
      <c r="D406" s="8" t="s">
        <v>1040</v>
      </c>
      <c r="E406" s="9" t="s">
        <v>1045</v>
      </c>
      <c r="F406" s="5" t="s">
        <v>105</v>
      </c>
      <c r="G406" s="5" t="s">
        <v>971</v>
      </c>
      <c r="H406" s="5" t="s">
        <v>931</v>
      </c>
      <c r="I406" s="5" t="s">
        <v>1586</v>
      </c>
      <c r="J406" s="5" t="s">
        <v>211</v>
      </c>
      <c r="K406" s="5" t="s">
        <v>181</v>
      </c>
      <c r="O406" s="5" t="s">
        <v>1043</v>
      </c>
      <c r="P406" s="5" t="s">
        <v>1044</v>
      </c>
    </row>
    <row r="407" spans="1:17" ht="45" customHeight="1" x14ac:dyDescent="0.45">
      <c r="A407" s="5" t="s">
        <v>2206</v>
      </c>
      <c r="B407" s="5" t="s">
        <v>650</v>
      </c>
      <c r="C407" s="5" t="s">
        <v>1354</v>
      </c>
      <c r="D407" s="8" t="s">
        <v>1355</v>
      </c>
      <c r="E407" s="9" t="s">
        <v>1358</v>
      </c>
      <c r="F407" s="5" t="s">
        <v>105</v>
      </c>
      <c r="G407" s="5" t="s">
        <v>1139</v>
      </c>
      <c r="H407" s="5" t="s">
        <v>847</v>
      </c>
      <c r="I407" s="5" t="s">
        <v>1586</v>
      </c>
      <c r="J407" s="5" t="s">
        <v>211</v>
      </c>
      <c r="K407" s="5" t="s">
        <v>603</v>
      </c>
      <c r="O407" s="5" t="s">
        <v>1356</v>
      </c>
      <c r="P407" s="5" t="s">
        <v>1357</v>
      </c>
    </row>
    <row r="408" spans="1:17" ht="45" customHeight="1" x14ac:dyDescent="0.45">
      <c r="A408" s="5" t="s">
        <v>2207</v>
      </c>
      <c r="B408" s="5" t="s">
        <v>650</v>
      </c>
      <c r="C408" s="5" t="s">
        <v>1409</v>
      </c>
      <c r="D408" s="8" t="s">
        <v>582</v>
      </c>
      <c r="E408" s="9" t="s">
        <v>1410</v>
      </c>
      <c r="F408" s="5" t="s">
        <v>105</v>
      </c>
      <c r="G408" s="5" t="s">
        <v>1139</v>
      </c>
      <c r="H408" s="5" t="s">
        <v>847</v>
      </c>
      <c r="I408" s="5" t="s">
        <v>1586</v>
      </c>
      <c r="J408" s="5" t="s">
        <v>211</v>
      </c>
      <c r="K408" s="5" t="s">
        <v>603</v>
      </c>
      <c r="O408" s="5" t="s">
        <v>1411</v>
      </c>
      <c r="P408" s="5" t="s">
        <v>1412</v>
      </c>
    </row>
    <row r="409" spans="1:17" ht="45" customHeight="1" x14ac:dyDescent="0.45">
      <c r="A409" s="5" t="s">
        <v>2208</v>
      </c>
      <c r="B409" s="5" t="s">
        <v>650</v>
      </c>
      <c r="C409" s="5" t="s">
        <v>297</v>
      </c>
      <c r="D409" s="8" t="s">
        <v>582</v>
      </c>
      <c r="E409" s="9" t="s">
        <v>663</v>
      </c>
      <c r="F409" s="5" t="s">
        <v>105</v>
      </c>
      <c r="G409" s="5" t="s">
        <v>217</v>
      </c>
      <c r="H409" s="5" t="s">
        <v>218</v>
      </c>
      <c r="I409" s="5" t="s">
        <v>662</v>
      </c>
      <c r="J409" s="5" t="s">
        <v>401</v>
      </c>
      <c r="K409" s="5" t="s">
        <v>606</v>
      </c>
    </row>
    <row r="410" spans="1:17" ht="45" customHeight="1" x14ac:dyDescent="0.45">
      <c r="A410" s="5" t="s">
        <v>2209</v>
      </c>
      <c r="B410" s="5" t="s">
        <v>650</v>
      </c>
      <c r="C410" s="5" t="s">
        <v>1047</v>
      </c>
      <c r="D410" s="8" t="s">
        <v>1048</v>
      </c>
      <c r="E410" s="9" t="s">
        <v>614</v>
      </c>
      <c r="F410" s="5" t="s">
        <v>105</v>
      </c>
      <c r="G410" s="5" t="s">
        <v>1037</v>
      </c>
      <c r="H410" s="5" t="s">
        <v>608</v>
      </c>
      <c r="I410" s="5" t="s">
        <v>1586</v>
      </c>
      <c r="J410" s="5" t="s">
        <v>211</v>
      </c>
      <c r="K410" s="5" t="s">
        <v>181</v>
      </c>
      <c r="M410" s="5" t="s">
        <v>235</v>
      </c>
      <c r="Q410" s="5" t="s">
        <v>1046</v>
      </c>
    </row>
    <row r="411" spans="1:17" ht="45" customHeight="1" x14ac:dyDescent="0.45">
      <c r="A411" s="5" t="s">
        <v>2210</v>
      </c>
      <c r="B411" s="5" t="s">
        <v>650</v>
      </c>
      <c r="C411" s="5" t="s">
        <v>1052</v>
      </c>
      <c r="D411" s="8" t="s">
        <v>1053</v>
      </c>
      <c r="E411" s="9" t="s">
        <v>1051</v>
      </c>
      <c r="F411" s="5" t="s">
        <v>105</v>
      </c>
      <c r="G411" s="5" t="s">
        <v>1050</v>
      </c>
      <c r="H411" s="5" t="s">
        <v>1049</v>
      </c>
      <c r="I411" s="5" t="s">
        <v>662</v>
      </c>
      <c r="J411" s="5" t="s">
        <v>401</v>
      </c>
      <c r="K411" s="5" t="s">
        <v>181</v>
      </c>
    </row>
    <row r="412" spans="1:17" ht="45" customHeight="1" x14ac:dyDescent="0.45">
      <c r="A412" s="5" t="s">
        <v>2211</v>
      </c>
      <c r="B412" s="5" t="s">
        <v>650</v>
      </c>
      <c r="C412" s="5" t="s">
        <v>1055</v>
      </c>
      <c r="D412" s="8" t="s">
        <v>1056</v>
      </c>
      <c r="E412" s="9" t="s">
        <v>1054</v>
      </c>
      <c r="F412" s="5" t="s">
        <v>105</v>
      </c>
      <c r="G412" s="5" t="s">
        <v>971</v>
      </c>
      <c r="H412" s="5" t="s">
        <v>931</v>
      </c>
      <c r="I412" s="5" t="s">
        <v>662</v>
      </c>
      <c r="J412" s="5" t="s">
        <v>401</v>
      </c>
      <c r="K412" s="5" t="s">
        <v>181</v>
      </c>
      <c r="O412" s="5" t="s">
        <v>1057</v>
      </c>
      <c r="P412" s="5" t="s">
        <v>1058</v>
      </c>
    </row>
    <row r="413" spans="1:17" ht="45" customHeight="1" x14ac:dyDescent="0.45">
      <c r="A413" s="5" t="s">
        <v>2212</v>
      </c>
      <c r="B413" s="5" t="s">
        <v>650</v>
      </c>
      <c r="C413" s="5" t="s">
        <v>1059</v>
      </c>
      <c r="D413" s="8" t="s">
        <v>1060</v>
      </c>
      <c r="E413" s="9" t="s">
        <v>1061</v>
      </c>
      <c r="F413" s="5" t="s">
        <v>105</v>
      </c>
      <c r="G413" s="5" t="s">
        <v>981</v>
      </c>
      <c r="H413" s="5" t="s">
        <v>908</v>
      </c>
      <c r="I413" s="5" t="s">
        <v>592</v>
      </c>
      <c r="J413" s="5" t="s">
        <v>232</v>
      </c>
      <c r="K413" s="5" t="s">
        <v>602</v>
      </c>
      <c r="M413" s="5" t="s">
        <v>819</v>
      </c>
    </row>
    <row r="414" spans="1:17" ht="45" customHeight="1" x14ac:dyDescent="0.45">
      <c r="A414" s="5" t="s">
        <v>2213</v>
      </c>
      <c r="B414" s="5" t="s">
        <v>650</v>
      </c>
      <c r="C414" s="5" t="s">
        <v>1062</v>
      </c>
      <c r="D414" s="8" t="s">
        <v>1063</v>
      </c>
      <c r="E414" s="9" t="s">
        <v>1061</v>
      </c>
      <c r="F414" s="5" t="s">
        <v>105</v>
      </c>
      <c r="G414" s="5" t="s">
        <v>981</v>
      </c>
      <c r="H414" s="5" t="s">
        <v>908</v>
      </c>
      <c r="I414" s="5" t="s">
        <v>1586</v>
      </c>
      <c r="J414" s="5" t="s">
        <v>211</v>
      </c>
      <c r="K414" s="5" t="s">
        <v>602</v>
      </c>
      <c r="M414" s="5" t="s">
        <v>819</v>
      </c>
    </row>
    <row r="415" spans="1:17" ht="45" customHeight="1" x14ac:dyDescent="0.45">
      <c r="A415" s="5" t="s">
        <v>2214</v>
      </c>
      <c r="B415" s="5" t="s">
        <v>650</v>
      </c>
      <c r="C415" s="5" t="s">
        <v>1064</v>
      </c>
      <c r="D415" s="8" t="s">
        <v>1065</v>
      </c>
      <c r="E415" s="9" t="s">
        <v>1066</v>
      </c>
      <c r="F415" s="5" t="s">
        <v>105</v>
      </c>
      <c r="G415" s="5" t="s">
        <v>981</v>
      </c>
      <c r="H415" s="5" t="s">
        <v>908</v>
      </c>
      <c r="I415" s="5" t="s">
        <v>1586</v>
      </c>
      <c r="J415" s="5" t="s">
        <v>211</v>
      </c>
      <c r="K415" s="5" t="s">
        <v>602</v>
      </c>
      <c r="M415" s="5" t="s">
        <v>819</v>
      </c>
    </row>
    <row r="416" spans="1:17" ht="45" customHeight="1" x14ac:dyDescent="0.45">
      <c r="A416" s="5" t="s">
        <v>2215</v>
      </c>
      <c r="B416" s="5" t="s">
        <v>650</v>
      </c>
      <c r="C416" s="5" t="s">
        <v>1068</v>
      </c>
      <c r="D416" s="8" t="s">
        <v>1069</v>
      </c>
      <c r="E416" s="9" t="s">
        <v>1070</v>
      </c>
      <c r="F416" s="5" t="s">
        <v>105</v>
      </c>
      <c r="G416" s="5" t="s">
        <v>1067</v>
      </c>
      <c r="H416" s="5" t="s">
        <v>1071</v>
      </c>
      <c r="I416" s="5" t="s">
        <v>1586</v>
      </c>
      <c r="J416" s="5" t="s">
        <v>211</v>
      </c>
      <c r="K416" s="5" t="s">
        <v>602</v>
      </c>
      <c r="M416" s="5" t="s">
        <v>819</v>
      </c>
    </row>
    <row r="417" spans="1:16" ht="45" customHeight="1" x14ac:dyDescent="0.45">
      <c r="A417" s="5" t="s">
        <v>2216</v>
      </c>
      <c r="B417" s="5" t="s">
        <v>650</v>
      </c>
      <c r="C417" s="5" t="s">
        <v>1075</v>
      </c>
      <c r="D417" s="8" t="s">
        <v>1076</v>
      </c>
      <c r="E417" s="9" t="s">
        <v>1074</v>
      </c>
      <c r="F417" s="5" t="s">
        <v>105</v>
      </c>
      <c r="G417" s="5" t="s">
        <v>971</v>
      </c>
      <c r="H417" s="5" t="s">
        <v>931</v>
      </c>
      <c r="I417" s="5" t="s">
        <v>1586</v>
      </c>
      <c r="J417" s="5" t="s">
        <v>211</v>
      </c>
      <c r="K417" s="5" t="s">
        <v>181</v>
      </c>
      <c r="O417" s="5" t="s">
        <v>1072</v>
      </c>
      <c r="P417" s="5" t="s">
        <v>1073</v>
      </c>
    </row>
    <row r="418" spans="1:16" ht="45" customHeight="1" x14ac:dyDescent="0.45">
      <c r="A418" s="5" t="s">
        <v>2217</v>
      </c>
      <c r="B418" s="5" t="s">
        <v>650</v>
      </c>
      <c r="C418" s="5" t="s">
        <v>1413</v>
      </c>
      <c r="D418" s="8" t="s">
        <v>274</v>
      </c>
      <c r="E418" s="9" t="s">
        <v>1414</v>
      </c>
      <c r="F418" s="5" t="s">
        <v>105</v>
      </c>
      <c r="G418" s="5" t="s">
        <v>1139</v>
      </c>
      <c r="H418" s="5" t="s">
        <v>847</v>
      </c>
      <c r="I418" s="5" t="s">
        <v>1586</v>
      </c>
      <c r="J418" s="5" t="s">
        <v>211</v>
      </c>
      <c r="K418" s="5" t="s">
        <v>603</v>
      </c>
      <c r="O418" s="5" t="s">
        <v>1415</v>
      </c>
      <c r="P418" s="5" t="s">
        <v>1416</v>
      </c>
    </row>
    <row r="419" spans="1:16" ht="45" customHeight="1" x14ac:dyDescent="0.45">
      <c r="A419" s="5" t="s">
        <v>2218</v>
      </c>
      <c r="B419" s="5" t="s">
        <v>650</v>
      </c>
      <c r="C419" s="5" t="s">
        <v>267</v>
      </c>
      <c r="D419" s="8" t="s">
        <v>274</v>
      </c>
      <c r="E419" s="9" t="s">
        <v>669</v>
      </c>
      <c r="F419" s="5" t="s">
        <v>105</v>
      </c>
      <c r="G419" s="5" t="s">
        <v>217</v>
      </c>
      <c r="H419" s="5" t="s">
        <v>218</v>
      </c>
      <c r="I419" s="5" t="s">
        <v>181</v>
      </c>
      <c r="J419" s="5" t="s">
        <v>181</v>
      </c>
      <c r="K419" s="5" t="s">
        <v>181</v>
      </c>
    </row>
    <row r="420" spans="1:16" ht="45" customHeight="1" x14ac:dyDescent="0.45">
      <c r="A420" s="5" t="s">
        <v>2219</v>
      </c>
      <c r="B420" s="5" t="s">
        <v>650</v>
      </c>
      <c r="C420" s="5" t="s">
        <v>1078</v>
      </c>
      <c r="D420" s="8" t="s">
        <v>1079</v>
      </c>
      <c r="E420" s="9" t="s">
        <v>1080</v>
      </c>
      <c r="F420" s="5" t="s">
        <v>105</v>
      </c>
      <c r="G420" s="5" t="s">
        <v>1077</v>
      </c>
      <c r="H420" s="5" t="s">
        <v>181</v>
      </c>
      <c r="I420" s="5" t="s">
        <v>1586</v>
      </c>
      <c r="J420" s="5" t="s">
        <v>211</v>
      </c>
      <c r="K420" s="5" t="s">
        <v>181</v>
      </c>
      <c r="O420" s="5" t="s">
        <v>1081</v>
      </c>
      <c r="P420" s="5" t="s">
        <v>1082</v>
      </c>
    </row>
    <row r="421" spans="1:16" ht="45" customHeight="1" x14ac:dyDescent="0.45">
      <c r="A421" s="5" t="s">
        <v>2220</v>
      </c>
      <c r="B421" s="5" t="s">
        <v>650</v>
      </c>
      <c r="C421" s="5" t="s">
        <v>1083</v>
      </c>
      <c r="D421" s="8" t="s">
        <v>1084</v>
      </c>
      <c r="E421" s="9" t="s">
        <v>1085</v>
      </c>
      <c r="F421" s="5" t="s">
        <v>105</v>
      </c>
      <c r="G421" s="5" t="s">
        <v>981</v>
      </c>
      <c r="H421" s="5" t="s">
        <v>908</v>
      </c>
      <c r="I421" s="5" t="s">
        <v>1586</v>
      </c>
      <c r="J421" s="5" t="s">
        <v>211</v>
      </c>
      <c r="K421" s="5" t="s">
        <v>602</v>
      </c>
      <c r="M421" s="5" t="s">
        <v>819</v>
      </c>
    </row>
    <row r="422" spans="1:16" ht="45" customHeight="1" x14ac:dyDescent="0.45">
      <c r="A422" s="5" t="s">
        <v>2221</v>
      </c>
      <c r="B422" s="5" t="s">
        <v>650</v>
      </c>
      <c r="C422" s="5" t="s">
        <v>1086</v>
      </c>
      <c r="D422" s="8" t="s">
        <v>1087</v>
      </c>
      <c r="E422" s="9" t="s">
        <v>1088</v>
      </c>
      <c r="F422" s="5" t="s">
        <v>105</v>
      </c>
      <c r="G422" s="5" t="s">
        <v>981</v>
      </c>
      <c r="H422" s="5" t="s">
        <v>908</v>
      </c>
      <c r="I422" s="5" t="s">
        <v>1586</v>
      </c>
      <c r="J422" s="5" t="s">
        <v>211</v>
      </c>
      <c r="K422" s="5" t="s">
        <v>602</v>
      </c>
      <c r="M422" s="5" t="s">
        <v>819</v>
      </c>
    </row>
    <row r="423" spans="1:16" ht="45" customHeight="1" x14ac:dyDescent="0.45">
      <c r="A423" s="5" t="s">
        <v>2222</v>
      </c>
      <c r="B423" s="5" t="s">
        <v>650</v>
      </c>
      <c r="C423" s="5" t="s">
        <v>1092</v>
      </c>
      <c r="D423" s="8" t="s">
        <v>1091</v>
      </c>
      <c r="E423" s="9" t="s">
        <v>1090</v>
      </c>
      <c r="F423" s="5" t="s">
        <v>105</v>
      </c>
      <c r="G423" s="5" t="s">
        <v>1089</v>
      </c>
      <c r="H423" s="5" t="s">
        <v>876</v>
      </c>
      <c r="I423" s="5" t="s">
        <v>1586</v>
      </c>
      <c r="J423" s="5" t="s">
        <v>211</v>
      </c>
    </row>
    <row r="424" spans="1:16" ht="45" customHeight="1" x14ac:dyDescent="0.45">
      <c r="A424" s="5" t="s">
        <v>2223</v>
      </c>
      <c r="B424" s="5" t="s">
        <v>650</v>
      </c>
      <c r="C424" s="5" t="s">
        <v>1093</v>
      </c>
      <c r="D424" s="8" t="s">
        <v>1094</v>
      </c>
      <c r="E424" s="9" t="s">
        <v>1095</v>
      </c>
      <c r="F424" s="5" t="s">
        <v>105</v>
      </c>
      <c r="G424" s="5" t="s">
        <v>981</v>
      </c>
      <c r="H424" s="5" t="s">
        <v>908</v>
      </c>
      <c r="I424" s="5" t="s">
        <v>1586</v>
      </c>
      <c r="J424" s="5" t="s">
        <v>211</v>
      </c>
      <c r="K424" s="5" t="s">
        <v>602</v>
      </c>
      <c r="M424" s="5" t="s">
        <v>819</v>
      </c>
    </row>
    <row r="425" spans="1:16" ht="45" customHeight="1" x14ac:dyDescent="0.45">
      <c r="A425" s="5" t="s">
        <v>2224</v>
      </c>
      <c r="B425" s="5" t="s">
        <v>650</v>
      </c>
      <c r="C425" s="5" t="s">
        <v>1096</v>
      </c>
      <c r="D425" s="8" t="s">
        <v>1097</v>
      </c>
      <c r="E425" s="9" t="s">
        <v>1095</v>
      </c>
      <c r="F425" s="5" t="s">
        <v>105</v>
      </c>
      <c r="G425" s="5" t="s">
        <v>981</v>
      </c>
      <c r="H425" s="5" t="s">
        <v>908</v>
      </c>
      <c r="I425" s="5" t="s">
        <v>592</v>
      </c>
      <c r="J425" s="5" t="s">
        <v>232</v>
      </c>
      <c r="K425" s="5" t="s">
        <v>602</v>
      </c>
      <c r="M425" s="5" t="s">
        <v>819</v>
      </c>
    </row>
    <row r="426" spans="1:16" ht="45" customHeight="1" x14ac:dyDescent="0.45">
      <c r="A426" s="5" t="s">
        <v>2225</v>
      </c>
      <c r="B426" s="5" t="s">
        <v>650</v>
      </c>
      <c r="C426" s="5" t="s">
        <v>1099</v>
      </c>
      <c r="D426" s="8" t="s">
        <v>1100</v>
      </c>
      <c r="E426" s="9" t="s">
        <v>1101</v>
      </c>
      <c r="F426" s="5" t="s">
        <v>105</v>
      </c>
      <c r="G426" s="5" t="s">
        <v>1098</v>
      </c>
      <c r="H426" s="5" t="s">
        <v>608</v>
      </c>
      <c r="I426" s="5" t="s">
        <v>1586</v>
      </c>
      <c r="J426" s="5" t="s">
        <v>211</v>
      </c>
    </row>
    <row r="427" spans="1:16" ht="45" customHeight="1" x14ac:dyDescent="0.45">
      <c r="A427" s="5" t="s">
        <v>2226</v>
      </c>
      <c r="B427" s="5" t="s">
        <v>650</v>
      </c>
      <c r="C427" s="5" t="s">
        <v>590</v>
      </c>
      <c r="D427" s="8" t="s">
        <v>583</v>
      </c>
      <c r="E427" s="9" t="s">
        <v>664</v>
      </c>
      <c r="F427" s="5" t="s">
        <v>105</v>
      </c>
      <c r="G427" s="5" t="s">
        <v>217</v>
      </c>
      <c r="H427" s="5" t="s">
        <v>218</v>
      </c>
      <c r="I427" s="5" t="s">
        <v>231</v>
      </c>
      <c r="J427" s="5" t="s">
        <v>1150</v>
      </c>
      <c r="K427" s="5" t="s">
        <v>606</v>
      </c>
    </row>
    <row r="428" spans="1:16" ht="45" customHeight="1" x14ac:dyDescent="0.45">
      <c r="A428" s="5" t="s">
        <v>2227</v>
      </c>
      <c r="B428" s="5" t="s">
        <v>650</v>
      </c>
      <c r="C428" s="5" t="s">
        <v>1102</v>
      </c>
      <c r="D428" s="8" t="s">
        <v>1103</v>
      </c>
      <c r="E428" s="9" t="s">
        <v>594</v>
      </c>
      <c r="F428" s="5" t="s">
        <v>105</v>
      </c>
      <c r="G428" s="5" t="s">
        <v>981</v>
      </c>
      <c r="H428" s="5" t="s">
        <v>908</v>
      </c>
      <c r="I428" s="5" t="s">
        <v>1586</v>
      </c>
      <c r="J428" s="5" t="s">
        <v>211</v>
      </c>
      <c r="K428" s="5" t="s">
        <v>602</v>
      </c>
      <c r="M428" s="5" t="s">
        <v>819</v>
      </c>
    </row>
    <row r="429" spans="1:16" ht="45" customHeight="1" x14ac:dyDescent="0.45">
      <c r="A429" s="5" t="s">
        <v>2228</v>
      </c>
      <c r="B429" s="5" t="s">
        <v>650</v>
      </c>
      <c r="C429" s="5" t="s">
        <v>1104</v>
      </c>
      <c r="D429" s="8" t="s">
        <v>1107</v>
      </c>
      <c r="E429" s="9" t="s">
        <v>1108</v>
      </c>
      <c r="F429" s="5" t="s">
        <v>105</v>
      </c>
      <c r="G429" s="5" t="s">
        <v>971</v>
      </c>
      <c r="H429" s="5" t="s">
        <v>931</v>
      </c>
      <c r="I429" s="5" t="s">
        <v>1586</v>
      </c>
      <c r="J429" s="5" t="s">
        <v>211</v>
      </c>
      <c r="K429" s="5" t="s">
        <v>181</v>
      </c>
      <c r="O429" s="5" t="s">
        <v>1105</v>
      </c>
      <c r="P429" s="5" t="s">
        <v>1106</v>
      </c>
    </row>
    <row r="430" spans="1:16" ht="45" customHeight="1" x14ac:dyDescent="0.45">
      <c r="A430" s="5" t="s">
        <v>2229</v>
      </c>
      <c r="B430" s="5" t="s">
        <v>650</v>
      </c>
      <c r="C430" s="5" t="s">
        <v>1109</v>
      </c>
      <c r="D430" s="8" t="s">
        <v>1110</v>
      </c>
      <c r="E430" s="9" t="s">
        <v>1113</v>
      </c>
      <c r="F430" s="5" t="s">
        <v>105</v>
      </c>
      <c r="G430" s="5" t="s">
        <v>971</v>
      </c>
      <c r="H430" s="5" t="s">
        <v>931</v>
      </c>
      <c r="I430" s="5" t="s">
        <v>662</v>
      </c>
      <c r="J430" s="5" t="s">
        <v>401</v>
      </c>
      <c r="K430" s="5" t="s">
        <v>181</v>
      </c>
      <c r="O430" s="5" t="s">
        <v>1111</v>
      </c>
      <c r="P430" s="5" t="s">
        <v>1112</v>
      </c>
    </row>
    <row r="431" spans="1:16" ht="45" customHeight="1" x14ac:dyDescent="0.45">
      <c r="A431" s="5" t="s">
        <v>2230</v>
      </c>
      <c r="B431" s="5" t="s">
        <v>650</v>
      </c>
      <c r="C431" s="5" t="s">
        <v>1114</v>
      </c>
      <c r="D431" s="8" t="s">
        <v>1115</v>
      </c>
      <c r="E431" s="9" t="s">
        <v>1116</v>
      </c>
      <c r="F431" s="5" t="s">
        <v>105</v>
      </c>
      <c r="G431" s="5" t="s">
        <v>179</v>
      </c>
      <c r="H431" s="5" t="s">
        <v>1117</v>
      </c>
      <c r="I431" s="5" t="s">
        <v>1586</v>
      </c>
      <c r="J431" s="5" t="s">
        <v>211</v>
      </c>
      <c r="K431" s="5" t="s">
        <v>181</v>
      </c>
    </row>
    <row r="432" spans="1:16" ht="45" customHeight="1" x14ac:dyDescent="0.45">
      <c r="A432" s="5" t="s">
        <v>2231</v>
      </c>
      <c r="B432" s="5" t="s">
        <v>650</v>
      </c>
      <c r="C432" s="5" t="s">
        <v>1419</v>
      </c>
      <c r="D432" s="8" t="s">
        <v>1420</v>
      </c>
      <c r="E432" s="9" t="s">
        <v>1421</v>
      </c>
      <c r="F432" s="5" t="s">
        <v>105</v>
      </c>
      <c r="G432" s="5" t="s">
        <v>1139</v>
      </c>
      <c r="H432" s="5" t="s">
        <v>847</v>
      </c>
      <c r="I432" s="5" t="s">
        <v>1586</v>
      </c>
      <c r="J432" s="5" t="s">
        <v>211</v>
      </c>
      <c r="K432" s="5" t="s">
        <v>603</v>
      </c>
      <c r="O432" s="5" t="s">
        <v>1417</v>
      </c>
      <c r="P432" s="5" t="s">
        <v>1418</v>
      </c>
    </row>
    <row r="433" spans="1:17" ht="45" customHeight="1" x14ac:dyDescent="0.45">
      <c r="A433" s="5" t="s">
        <v>2232</v>
      </c>
      <c r="B433" s="5" t="s">
        <v>650</v>
      </c>
      <c r="C433" s="5" t="s">
        <v>1118</v>
      </c>
      <c r="D433" s="8" t="s">
        <v>1119</v>
      </c>
      <c r="E433" s="9" t="s">
        <v>1120</v>
      </c>
      <c r="F433" s="5" t="s">
        <v>105</v>
      </c>
      <c r="G433" s="5" t="s">
        <v>1089</v>
      </c>
      <c r="H433" s="5" t="s">
        <v>876</v>
      </c>
      <c r="I433" s="5" t="s">
        <v>1586</v>
      </c>
      <c r="J433" s="5" t="s">
        <v>211</v>
      </c>
      <c r="K433" s="5" t="s">
        <v>181</v>
      </c>
      <c r="Q433" s="5" t="s">
        <v>1121</v>
      </c>
    </row>
    <row r="434" spans="1:17" ht="45" customHeight="1" x14ac:dyDescent="0.45">
      <c r="A434" s="5" t="s">
        <v>2233</v>
      </c>
      <c r="B434" s="5" t="s">
        <v>650</v>
      </c>
      <c r="C434" s="5" t="s">
        <v>1122</v>
      </c>
      <c r="D434" s="8" t="s">
        <v>1123</v>
      </c>
      <c r="E434" s="9" t="s">
        <v>1126</v>
      </c>
      <c r="F434" s="5" t="s">
        <v>105</v>
      </c>
      <c r="G434" s="5" t="s">
        <v>1125</v>
      </c>
      <c r="H434" s="5" t="s">
        <v>1124</v>
      </c>
      <c r="I434" s="5" t="s">
        <v>1586</v>
      </c>
      <c r="J434" s="5" t="s">
        <v>211</v>
      </c>
      <c r="K434" s="5" t="s">
        <v>181</v>
      </c>
    </row>
    <row r="435" spans="1:17" ht="45" customHeight="1" x14ac:dyDescent="0.45">
      <c r="A435" s="5" t="s">
        <v>2234</v>
      </c>
      <c r="B435" s="5" t="s">
        <v>650</v>
      </c>
      <c r="C435" s="5" t="s">
        <v>1127</v>
      </c>
      <c r="D435" s="8" t="s">
        <v>1128</v>
      </c>
      <c r="E435" s="9" t="s">
        <v>1129</v>
      </c>
      <c r="F435" s="5" t="s">
        <v>105</v>
      </c>
      <c r="G435" s="5" t="s">
        <v>981</v>
      </c>
      <c r="H435" s="5" t="s">
        <v>908</v>
      </c>
      <c r="I435" s="5" t="s">
        <v>592</v>
      </c>
      <c r="J435" s="5" t="s">
        <v>232</v>
      </c>
      <c r="K435" s="5" t="s">
        <v>602</v>
      </c>
      <c r="M435" s="5" t="s">
        <v>819</v>
      </c>
    </row>
    <row r="436" spans="1:17" ht="45" customHeight="1" x14ac:dyDescent="0.45">
      <c r="A436" s="5" t="s">
        <v>2235</v>
      </c>
      <c r="B436" s="5" t="s">
        <v>650</v>
      </c>
      <c r="C436" s="5" t="s">
        <v>1131</v>
      </c>
      <c r="D436" s="8" t="s">
        <v>1132</v>
      </c>
      <c r="E436" s="9" t="s">
        <v>1133</v>
      </c>
      <c r="F436" s="5" t="s">
        <v>105</v>
      </c>
      <c r="G436" s="5" t="s">
        <v>1130</v>
      </c>
      <c r="H436" s="5" t="s">
        <v>181</v>
      </c>
      <c r="I436" s="5" t="s">
        <v>1586</v>
      </c>
      <c r="J436" s="5" t="s">
        <v>211</v>
      </c>
      <c r="K436" s="5" t="s">
        <v>181</v>
      </c>
    </row>
    <row r="437" spans="1:17" ht="45" customHeight="1" x14ac:dyDescent="0.45">
      <c r="A437" s="5" t="s">
        <v>2236</v>
      </c>
      <c r="B437" s="5" t="s">
        <v>650</v>
      </c>
      <c r="C437" s="5" t="s">
        <v>1136</v>
      </c>
      <c r="D437" s="8" t="s">
        <v>1137</v>
      </c>
      <c r="E437" s="9" t="s">
        <v>1135</v>
      </c>
      <c r="F437" s="5" t="s">
        <v>105</v>
      </c>
      <c r="G437" s="5" t="s">
        <v>1134</v>
      </c>
      <c r="H437" s="5" t="s">
        <v>181</v>
      </c>
      <c r="I437" s="5" t="s">
        <v>1586</v>
      </c>
      <c r="J437" s="5" t="s">
        <v>211</v>
      </c>
      <c r="K437" s="5" t="s">
        <v>181</v>
      </c>
    </row>
    <row r="438" spans="1:17" ht="45" customHeight="1" x14ac:dyDescent="0.45">
      <c r="A438" s="5" t="s">
        <v>2237</v>
      </c>
      <c r="B438" s="5" t="s">
        <v>650</v>
      </c>
      <c r="C438" s="5" t="s">
        <v>1141</v>
      </c>
      <c r="D438" s="8" t="s">
        <v>1142</v>
      </c>
      <c r="E438" s="9" t="s">
        <v>1143</v>
      </c>
      <c r="F438" s="5" t="s">
        <v>105</v>
      </c>
      <c r="G438" s="5" t="s">
        <v>1139</v>
      </c>
      <c r="H438" s="5" t="s">
        <v>847</v>
      </c>
      <c r="I438" s="5" t="s">
        <v>1586</v>
      </c>
      <c r="J438" s="5" t="s">
        <v>211</v>
      </c>
      <c r="K438" s="5" t="s">
        <v>603</v>
      </c>
      <c r="O438" s="5" t="s">
        <v>1138</v>
      </c>
      <c r="P438" s="5" t="s">
        <v>1140</v>
      </c>
    </row>
    <row r="439" spans="1:17" ht="45" customHeight="1" x14ac:dyDescent="0.45">
      <c r="A439" s="5" t="s">
        <v>2238</v>
      </c>
      <c r="B439" s="5" t="s">
        <v>650</v>
      </c>
      <c r="C439" s="5" t="s">
        <v>269</v>
      </c>
      <c r="D439" s="8" t="s">
        <v>276</v>
      </c>
      <c r="E439" s="9" t="s">
        <v>665</v>
      </c>
      <c r="F439" s="5" t="s">
        <v>105</v>
      </c>
      <c r="G439" s="5" t="s">
        <v>217</v>
      </c>
      <c r="H439" s="5" t="s">
        <v>218</v>
      </c>
      <c r="I439" s="5" t="s">
        <v>651</v>
      </c>
      <c r="J439" s="5" t="s">
        <v>672</v>
      </c>
      <c r="K439" s="5" t="s">
        <v>602</v>
      </c>
    </row>
    <row r="440" spans="1:17" ht="45" customHeight="1" x14ac:dyDescent="0.45">
      <c r="A440" s="5" t="s">
        <v>2239</v>
      </c>
      <c r="B440" s="5" t="s">
        <v>650</v>
      </c>
      <c r="C440" s="5" t="s">
        <v>1144</v>
      </c>
      <c r="D440" s="8" t="s">
        <v>1145</v>
      </c>
      <c r="E440" s="9" t="s">
        <v>597</v>
      </c>
      <c r="F440" s="5" t="s">
        <v>105</v>
      </c>
      <c r="G440" s="5" t="s">
        <v>1139</v>
      </c>
      <c r="H440" s="5" t="s">
        <v>847</v>
      </c>
      <c r="I440" s="5" t="s">
        <v>1586</v>
      </c>
      <c r="J440" s="5" t="s">
        <v>211</v>
      </c>
      <c r="K440" s="5" t="s">
        <v>603</v>
      </c>
    </row>
    <row r="441" spans="1:17" ht="45" customHeight="1" x14ac:dyDescent="0.45">
      <c r="A441" s="5" t="s">
        <v>2240</v>
      </c>
      <c r="B441" s="5" t="s">
        <v>650</v>
      </c>
      <c r="C441" s="5" t="s">
        <v>1146</v>
      </c>
      <c r="D441" s="8" t="s">
        <v>1147</v>
      </c>
      <c r="E441" s="9" t="s">
        <v>1148</v>
      </c>
      <c r="F441" s="5" t="s">
        <v>105</v>
      </c>
      <c r="G441" s="5" t="s">
        <v>971</v>
      </c>
      <c r="H441" s="5" t="s">
        <v>931</v>
      </c>
      <c r="I441" s="5" t="s">
        <v>662</v>
      </c>
      <c r="J441" s="5" t="s">
        <v>401</v>
      </c>
      <c r="K441" s="5" t="s">
        <v>181</v>
      </c>
    </row>
    <row r="442" spans="1:17" ht="45" customHeight="1" x14ac:dyDescent="0.45">
      <c r="A442" s="5" t="s">
        <v>2241</v>
      </c>
      <c r="B442" s="5" t="s">
        <v>650</v>
      </c>
      <c r="C442" s="5" t="s">
        <v>1151</v>
      </c>
      <c r="D442" s="8" t="s">
        <v>1152</v>
      </c>
      <c r="E442" s="9" t="s">
        <v>1149</v>
      </c>
      <c r="F442" s="5" t="s">
        <v>105</v>
      </c>
      <c r="G442" s="5" t="s">
        <v>245</v>
      </c>
      <c r="H442" s="5" t="s">
        <v>181</v>
      </c>
      <c r="I442" s="5" t="s">
        <v>231</v>
      </c>
      <c r="J442" s="5" t="s">
        <v>1150</v>
      </c>
      <c r="K442" s="5" t="s">
        <v>181</v>
      </c>
    </row>
    <row r="443" spans="1:17" ht="45" customHeight="1" x14ac:dyDescent="0.45">
      <c r="A443" s="5" t="s">
        <v>2242</v>
      </c>
      <c r="B443" s="5" t="s">
        <v>650</v>
      </c>
      <c r="C443" s="5" t="s">
        <v>1154</v>
      </c>
      <c r="D443" s="8" t="s">
        <v>1155</v>
      </c>
      <c r="E443" s="9" t="s">
        <v>1149</v>
      </c>
      <c r="F443" s="5" t="s">
        <v>105</v>
      </c>
      <c r="G443" s="5" t="s">
        <v>1153</v>
      </c>
      <c r="H443" s="5" t="s">
        <v>908</v>
      </c>
      <c r="I443" s="5" t="s">
        <v>1586</v>
      </c>
      <c r="J443" s="5" t="s">
        <v>211</v>
      </c>
      <c r="K443" s="5" t="s">
        <v>602</v>
      </c>
      <c r="M443" s="5" t="s">
        <v>819</v>
      </c>
    </row>
    <row r="444" spans="1:17" ht="45" customHeight="1" x14ac:dyDescent="0.45">
      <c r="A444" s="5" t="s">
        <v>2243</v>
      </c>
      <c r="B444" s="5" t="s">
        <v>650</v>
      </c>
      <c r="C444" s="5" t="s">
        <v>1156</v>
      </c>
      <c r="D444" s="8" t="s">
        <v>1157</v>
      </c>
      <c r="E444" s="9" t="s">
        <v>1149</v>
      </c>
      <c r="F444" s="5" t="s">
        <v>105</v>
      </c>
      <c r="G444" s="5" t="s">
        <v>1153</v>
      </c>
      <c r="H444" s="5" t="s">
        <v>908</v>
      </c>
      <c r="I444" s="5" t="s">
        <v>592</v>
      </c>
      <c r="J444" s="5" t="s">
        <v>232</v>
      </c>
      <c r="K444" s="5" t="s">
        <v>602</v>
      </c>
      <c r="M444" s="5" t="s">
        <v>819</v>
      </c>
    </row>
    <row r="445" spans="1:17" ht="45" customHeight="1" x14ac:dyDescent="0.45">
      <c r="A445" s="5" t="s">
        <v>2244</v>
      </c>
      <c r="B445" s="5" t="s">
        <v>650</v>
      </c>
      <c r="C445" s="5" t="s">
        <v>1162</v>
      </c>
      <c r="D445" s="8" t="s">
        <v>1163</v>
      </c>
      <c r="E445" s="9" t="s">
        <v>1161</v>
      </c>
      <c r="F445" s="5" t="s">
        <v>105</v>
      </c>
      <c r="G445" s="5" t="s">
        <v>1160</v>
      </c>
      <c r="H445" s="5" t="s">
        <v>1164</v>
      </c>
      <c r="I445" s="5" t="s">
        <v>1586</v>
      </c>
      <c r="J445" s="5" t="s">
        <v>211</v>
      </c>
      <c r="K445" s="5" t="s">
        <v>603</v>
      </c>
      <c r="O445" s="5" t="s">
        <v>1158</v>
      </c>
      <c r="P445" s="5" t="s">
        <v>1159</v>
      </c>
    </row>
    <row r="446" spans="1:17" ht="45" customHeight="1" x14ac:dyDescent="0.45">
      <c r="A446" s="5" t="s">
        <v>2245</v>
      </c>
      <c r="B446" s="5" t="s">
        <v>650</v>
      </c>
      <c r="C446" s="5" t="s">
        <v>1166</v>
      </c>
      <c r="D446" s="8" t="s">
        <v>1165</v>
      </c>
      <c r="E446" s="9" t="s">
        <v>1167</v>
      </c>
      <c r="F446" s="5" t="s">
        <v>105</v>
      </c>
      <c r="G446" s="5" t="s">
        <v>1130</v>
      </c>
      <c r="H446" s="5" t="s">
        <v>181</v>
      </c>
      <c r="I446" s="5" t="s">
        <v>1586</v>
      </c>
      <c r="J446" s="5" t="s">
        <v>211</v>
      </c>
      <c r="K446" s="5" t="s">
        <v>181</v>
      </c>
    </row>
    <row r="447" spans="1:17" ht="45" customHeight="1" x14ac:dyDescent="0.45">
      <c r="A447" s="5" t="s">
        <v>2246</v>
      </c>
      <c r="B447" s="5" t="s">
        <v>650</v>
      </c>
      <c r="C447" s="5" t="s">
        <v>1424</v>
      </c>
      <c r="D447" s="8" t="s">
        <v>584</v>
      </c>
      <c r="E447" s="9" t="s">
        <v>1423</v>
      </c>
      <c r="F447" s="5" t="s">
        <v>105</v>
      </c>
      <c r="G447" s="5" t="s">
        <v>1422</v>
      </c>
      <c r="H447" s="5" t="s">
        <v>599</v>
      </c>
      <c r="I447" s="5" t="s">
        <v>231</v>
      </c>
      <c r="J447" s="5" t="s">
        <v>232</v>
      </c>
      <c r="Q447" s="5" t="s">
        <v>1425</v>
      </c>
    </row>
    <row r="448" spans="1:17" ht="45" customHeight="1" x14ac:dyDescent="0.45">
      <c r="A448" s="5" t="s">
        <v>2247</v>
      </c>
      <c r="B448" s="5" t="s">
        <v>650</v>
      </c>
      <c r="C448" s="5" t="s">
        <v>666</v>
      </c>
      <c r="D448" s="8" t="s">
        <v>584</v>
      </c>
      <c r="E448" s="9" t="s">
        <v>665</v>
      </c>
      <c r="F448" s="5" t="s">
        <v>105</v>
      </c>
      <c r="G448" s="5" t="s">
        <v>217</v>
      </c>
      <c r="H448" s="5" t="s">
        <v>218</v>
      </c>
      <c r="I448" s="5" t="s">
        <v>231</v>
      </c>
      <c r="J448" s="5" t="s">
        <v>1150</v>
      </c>
      <c r="K448" s="5" t="s">
        <v>606</v>
      </c>
    </row>
    <row r="449" spans="1:16" ht="45" customHeight="1" x14ac:dyDescent="0.45">
      <c r="A449" s="5" t="s">
        <v>2248</v>
      </c>
      <c r="B449" s="5" t="s">
        <v>650</v>
      </c>
      <c r="C449" s="5" t="s">
        <v>1170</v>
      </c>
      <c r="D449" s="8" t="s">
        <v>1171</v>
      </c>
      <c r="E449" s="9" t="s">
        <v>1172</v>
      </c>
      <c r="F449" s="5" t="s">
        <v>105</v>
      </c>
      <c r="G449" s="5" t="s">
        <v>1160</v>
      </c>
      <c r="H449" s="5" t="s">
        <v>1164</v>
      </c>
      <c r="I449" s="5" t="s">
        <v>1586</v>
      </c>
      <c r="J449" s="5" t="s">
        <v>211</v>
      </c>
      <c r="K449" s="5" t="s">
        <v>603</v>
      </c>
      <c r="O449" s="5" t="s">
        <v>1168</v>
      </c>
      <c r="P449" s="5" t="s">
        <v>1169</v>
      </c>
    </row>
    <row r="450" spans="1:16" ht="45" customHeight="1" x14ac:dyDescent="0.45">
      <c r="A450" s="5" t="s">
        <v>2249</v>
      </c>
      <c r="B450" s="5" t="s">
        <v>650</v>
      </c>
      <c r="C450" s="5" t="s">
        <v>1173</v>
      </c>
      <c r="D450" s="8" t="s">
        <v>1174</v>
      </c>
      <c r="E450" s="9" t="s">
        <v>1175</v>
      </c>
      <c r="F450" s="5" t="s">
        <v>105</v>
      </c>
      <c r="G450" s="5" t="s">
        <v>1176</v>
      </c>
      <c r="H450" s="5" t="s">
        <v>181</v>
      </c>
      <c r="I450" s="5" t="s">
        <v>1586</v>
      </c>
      <c r="J450" s="5" t="s">
        <v>211</v>
      </c>
    </row>
    <row r="451" spans="1:16" ht="45" customHeight="1" x14ac:dyDescent="0.45">
      <c r="A451" s="5" t="s">
        <v>2250</v>
      </c>
      <c r="B451" s="5" t="s">
        <v>650</v>
      </c>
      <c r="C451" s="5" t="s">
        <v>1177</v>
      </c>
      <c r="D451" s="8" t="s">
        <v>1178</v>
      </c>
      <c r="E451" s="9" t="s">
        <v>1180</v>
      </c>
      <c r="F451" s="5" t="s">
        <v>105</v>
      </c>
      <c r="G451" s="5" t="s">
        <v>1179</v>
      </c>
      <c r="H451" s="5" t="s">
        <v>181</v>
      </c>
      <c r="I451" s="5" t="s">
        <v>592</v>
      </c>
      <c r="J451" s="5" t="s">
        <v>232</v>
      </c>
    </row>
    <row r="452" spans="1:16" ht="45" customHeight="1" x14ac:dyDescent="0.45">
      <c r="A452" s="5" t="s">
        <v>2251</v>
      </c>
      <c r="B452" s="5" t="s">
        <v>650</v>
      </c>
      <c r="C452" s="5" t="s">
        <v>1181</v>
      </c>
      <c r="D452" s="8" t="s">
        <v>1182</v>
      </c>
      <c r="E452" s="9" t="s">
        <v>1185</v>
      </c>
      <c r="F452" s="5" t="s">
        <v>105</v>
      </c>
      <c r="G452" s="5" t="s">
        <v>1160</v>
      </c>
      <c r="H452" s="5" t="s">
        <v>1164</v>
      </c>
      <c r="I452" s="5" t="s">
        <v>1586</v>
      </c>
      <c r="J452" s="5" t="s">
        <v>211</v>
      </c>
      <c r="O452" s="5" t="s">
        <v>1183</v>
      </c>
      <c r="P452" s="5" t="s">
        <v>1184</v>
      </c>
    </row>
    <row r="453" spans="1:16" ht="45" customHeight="1" x14ac:dyDescent="0.45">
      <c r="A453" s="5" t="s">
        <v>2252</v>
      </c>
      <c r="B453" s="5" t="s">
        <v>650</v>
      </c>
      <c r="C453" s="5" t="s">
        <v>1186</v>
      </c>
      <c r="D453" s="8" t="s">
        <v>1187</v>
      </c>
      <c r="E453" s="9" t="s">
        <v>1188</v>
      </c>
      <c r="F453" s="5" t="s">
        <v>105</v>
      </c>
      <c r="G453" s="5" t="s">
        <v>971</v>
      </c>
      <c r="H453" s="5" t="s">
        <v>931</v>
      </c>
      <c r="I453" s="5" t="s">
        <v>592</v>
      </c>
      <c r="J453" s="5" t="s">
        <v>232</v>
      </c>
    </row>
    <row r="454" spans="1:16" ht="45" customHeight="1" x14ac:dyDescent="0.45">
      <c r="A454" s="5" t="s">
        <v>2253</v>
      </c>
      <c r="B454" s="5" t="s">
        <v>650</v>
      </c>
      <c r="C454" s="5" t="s">
        <v>1189</v>
      </c>
      <c r="D454" s="8" t="s">
        <v>1190</v>
      </c>
      <c r="E454" s="9" t="s">
        <v>1188</v>
      </c>
      <c r="F454" s="5" t="s">
        <v>105</v>
      </c>
      <c r="G454" s="5" t="s">
        <v>1098</v>
      </c>
      <c r="H454" s="5" t="s">
        <v>608</v>
      </c>
      <c r="I454" s="5" t="s">
        <v>1586</v>
      </c>
      <c r="J454" s="5" t="s">
        <v>211</v>
      </c>
    </row>
    <row r="455" spans="1:16" ht="45" customHeight="1" x14ac:dyDescent="0.45">
      <c r="A455" s="5" t="s">
        <v>2254</v>
      </c>
      <c r="B455" s="5" t="s">
        <v>650</v>
      </c>
      <c r="C455" s="5" t="s">
        <v>1191</v>
      </c>
      <c r="D455" s="8" t="s">
        <v>1192</v>
      </c>
      <c r="E455" s="9" t="s">
        <v>1193</v>
      </c>
      <c r="F455" s="5" t="s">
        <v>105</v>
      </c>
      <c r="G455" s="5" t="s">
        <v>971</v>
      </c>
      <c r="H455" s="5" t="s">
        <v>931</v>
      </c>
      <c r="I455" s="5" t="s">
        <v>1586</v>
      </c>
      <c r="J455" s="5" t="s">
        <v>211</v>
      </c>
    </row>
    <row r="456" spans="1:16" ht="45" customHeight="1" x14ac:dyDescent="0.45">
      <c r="A456" s="5" t="s">
        <v>2255</v>
      </c>
      <c r="B456" s="5" t="s">
        <v>650</v>
      </c>
      <c r="C456" s="5" t="s">
        <v>1194</v>
      </c>
      <c r="D456" s="8" t="s">
        <v>1195</v>
      </c>
      <c r="E456" s="9" t="s">
        <v>1196</v>
      </c>
      <c r="F456" s="5" t="s">
        <v>105</v>
      </c>
      <c r="G456" s="5" t="s">
        <v>1098</v>
      </c>
      <c r="H456" s="5" t="s">
        <v>608</v>
      </c>
      <c r="I456" s="5" t="s">
        <v>1586</v>
      </c>
      <c r="J456" s="5" t="s">
        <v>211</v>
      </c>
    </row>
    <row r="457" spans="1:16" ht="45" customHeight="1" x14ac:dyDescent="0.45">
      <c r="A457" s="5" t="s">
        <v>2256</v>
      </c>
      <c r="B457" s="5" t="s">
        <v>650</v>
      </c>
      <c r="C457" s="5" t="s">
        <v>1197</v>
      </c>
      <c r="D457" s="8" t="s">
        <v>1199</v>
      </c>
      <c r="E457" s="9" t="s">
        <v>1198</v>
      </c>
      <c r="F457" s="5" t="s">
        <v>105</v>
      </c>
      <c r="G457" s="5" t="s">
        <v>1200</v>
      </c>
      <c r="I457" s="5" t="s">
        <v>1586</v>
      </c>
      <c r="J457" s="5" t="s">
        <v>211</v>
      </c>
    </row>
    <row r="458" spans="1:16" ht="45" customHeight="1" x14ac:dyDescent="0.45">
      <c r="A458" s="5" t="s">
        <v>2257</v>
      </c>
      <c r="B458" s="5" t="s">
        <v>650</v>
      </c>
      <c r="C458" s="5" t="s">
        <v>1428</v>
      </c>
      <c r="D458" s="8" t="s">
        <v>278</v>
      </c>
      <c r="E458" s="9" t="s">
        <v>1429</v>
      </c>
      <c r="F458" s="5" t="s">
        <v>105</v>
      </c>
      <c r="G458" s="5" t="s">
        <v>1139</v>
      </c>
      <c r="H458" s="5" t="s">
        <v>847</v>
      </c>
      <c r="I458" s="5" t="s">
        <v>1586</v>
      </c>
      <c r="J458" s="5" t="s">
        <v>211</v>
      </c>
      <c r="K458" s="5" t="s">
        <v>603</v>
      </c>
      <c r="O458" s="5" t="s">
        <v>1426</v>
      </c>
      <c r="P458" s="5" t="s">
        <v>1427</v>
      </c>
    </row>
    <row r="459" spans="1:16" ht="45" customHeight="1" x14ac:dyDescent="0.45">
      <c r="A459" s="5" t="s">
        <v>2258</v>
      </c>
      <c r="B459" s="5" t="s">
        <v>650</v>
      </c>
      <c r="C459" s="5" t="s">
        <v>271</v>
      </c>
      <c r="D459" s="8" t="s">
        <v>278</v>
      </c>
      <c r="E459" s="9" t="s">
        <v>667</v>
      </c>
      <c r="F459" s="5" t="s">
        <v>105</v>
      </c>
      <c r="G459" s="5" t="s">
        <v>217</v>
      </c>
      <c r="H459" s="5" t="s">
        <v>218</v>
      </c>
      <c r="I459" s="5" t="s">
        <v>651</v>
      </c>
      <c r="J459" s="5" t="s">
        <v>672</v>
      </c>
      <c r="K459" s="5" t="s">
        <v>602</v>
      </c>
    </row>
    <row r="460" spans="1:16" ht="45" customHeight="1" x14ac:dyDescent="0.45">
      <c r="A460" s="5" t="s">
        <v>2259</v>
      </c>
      <c r="B460" s="5" t="s">
        <v>650</v>
      </c>
      <c r="C460" s="5" t="s">
        <v>1202</v>
      </c>
      <c r="D460" s="8" t="s">
        <v>1201</v>
      </c>
      <c r="E460" s="9" t="s">
        <v>1198</v>
      </c>
      <c r="F460" s="5" t="s">
        <v>105</v>
      </c>
      <c r="G460" s="5" t="s">
        <v>1153</v>
      </c>
      <c r="H460" s="5" t="s">
        <v>908</v>
      </c>
      <c r="I460" s="5" t="s">
        <v>231</v>
      </c>
      <c r="J460" s="5" t="s">
        <v>232</v>
      </c>
      <c r="K460" s="5" t="s">
        <v>602</v>
      </c>
      <c r="M460" s="5" t="s">
        <v>819</v>
      </c>
    </row>
    <row r="461" spans="1:16" ht="45" customHeight="1" x14ac:dyDescent="0.45">
      <c r="A461" s="5" t="s">
        <v>2260</v>
      </c>
      <c r="B461" s="5" t="s">
        <v>650</v>
      </c>
      <c r="C461" s="5" t="s">
        <v>1203</v>
      </c>
      <c r="D461" s="8" t="s">
        <v>1204</v>
      </c>
      <c r="E461" s="9" t="s">
        <v>1198</v>
      </c>
      <c r="F461" s="5" t="s">
        <v>105</v>
      </c>
      <c r="G461" s="5" t="s">
        <v>1153</v>
      </c>
      <c r="H461" s="5" t="s">
        <v>908</v>
      </c>
      <c r="I461" s="5" t="s">
        <v>1586</v>
      </c>
      <c r="J461" s="5" t="s">
        <v>211</v>
      </c>
      <c r="K461" s="5" t="s">
        <v>602</v>
      </c>
      <c r="M461" s="5" t="s">
        <v>819</v>
      </c>
    </row>
    <row r="462" spans="1:16" ht="45" customHeight="1" x14ac:dyDescent="0.45">
      <c r="A462" s="5" t="s">
        <v>2261</v>
      </c>
      <c r="B462" s="5" t="s">
        <v>650</v>
      </c>
      <c r="C462" s="5" t="s">
        <v>1205</v>
      </c>
      <c r="D462" s="8" t="s">
        <v>1206</v>
      </c>
      <c r="E462" s="9" t="s">
        <v>1198</v>
      </c>
      <c r="F462" s="5" t="s">
        <v>105</v>
      </c>
      <c r="G462" s="5" t="s">
        <v>1153</v>
      </c>
      <c r="H462" s="5" t="s">
        <v>908</v>
      </c>
      <c r="I462" s="5" t="s">
        <v>592</v>
      </c>
      <c r="J462" s="5" t="s">
        <v>232</v>
      </c>
      <c r="K462" s="5" t="s">
        <v>602</v>
      </c>
      <c r="M462" s="5" t="s">
        <v>819</v>
      </c>
    </row>
    <row r="463" spans="1:16" ht="45" customHeight="1" x14ac:dyDescent="0.45">
      <c r="A463" s="5" t="s">
        <v>2262</v>
      </c>
      <c r="B463" s="5" t="s">
        <v>650</v>
      </c>
      <c r="C463" s="5" t="s">
        <v>1207</v>
      </c>
      <c r="D463" s="8" t="s">
        <v>1208</v>
      </c>
      <c r="E463" s="9" t="s">
        <v>1209</v>
      </c>
      <c r="F463" s="5" t="s">
        <v>105</v>
      </c>
      <c r="G463" s="5" t="s">
        <v>1179</v>
      </c>
      <c r="H463" s="5" t="s">
        <v>181</v>
      </c>
      <c r="I463" s="5" t="s">
        <v>662</v>
      </c>
      <c r="J463" s="5" t="s">
        <v>401</v>
      </c>
    </row>
    <row r="464" spans="1:16" ht="45" customHeight="1" x14ac:dyDescent="0.45">
      <c r="A464" s="5" t="s">
        <v>2263</v>
      </c>
      <c r="B464" s="5" t="s">
        <v>650</v>
      </c>
      <c r="C464" s="5" t="s">
        <v>1210</v>
      </c>
      <c r="D464" s="8" t="s">
        <v>1211</v>
      </c>
      <c r="E464" s="9" t="s">
        <v>1212</v>
      </c>
      <c r="F464" s="5" t="s">
        <v>105</v>
      </c>
      <c r="G464" s="5" t="s">
        <v>971</v>
      </c>
      <c r="H464" s="5" t="s">
        <v>931</v>
      </c>
      <c r="I464" s="5" t="s">
        <v>1586</v>
      </c>
      <c r="J464" s="5" t="s">
        <v>211</v>
      </c>
    </row>
    <row r="465" spans="1:17" ht="45" customHeight="1" x14ac:dyDescent="0.45">
      <c r="A465" s="5" t="s">
        <v>2264</v>
      </c>
      <c r="B465" s="5" t="s">
        <v>650</v>
      </c>
      <c r="C465" s="5" t="s">
        <v>1430</v>
      </c>
      <c r="D465" s="8" t="s">
        <v>585</v>
      </c>
      <c r="E465" s="9" t="s">
        <v>1434</v>
      </c>
      <c r="F465" s="5" t="s">
        <v>105</v>
      </c>
      <c r="G465" s="5" t="s">
        <v>1139</v>
      </c>
      <c r="H465" s="5" t="s">
        <v>847</v>
      </c>
      <c r="I465" s="5" t="s">
        <v>1586</v>
      </c>
      <c r="J465" s="5" t="s">
        <v>211</v>
      </c>
      <c r="K465" s="5" t="s">
        <v>603</v>
      </c>
      <c r="O465" s="5" t="s">
        <v>1432</v>
      </c>
      <c r="P465" s="5" t="s">
        <v>1433</v>
      </c>
      <c r="Q465" s="5" t="s">
        <v>1431</v>
      </c>
    </row>
    <row r="466" spans="1:17" ht="45" customHeight="1" x14ac:dyDescent="0.45">
      <c r="A466" s="5" t="s">
        <v>2265</v>
      </c>
      <c r="B466" s="5" t="s">
        <v>650</v>
      </c>
      <c r="C466" s="5" t="s">
        <v>1213</v>
      </c>
      <c r="D466" s="8" t="s">
        <v>1214</v>
      </c>
      <c r="E466" s="9" t="s">
        <v>1215</v>
      </c>
      <c r="F466" s="5" t="s">
        <v>105</v>
      </c>
      <c r="G466" s="5" t="s">
        <v>1098</v>
      </c>
      <c r="H466" s="5" t="s">
        <v>608</v>
      </c>
      <c r="I466" s="5" t="s">
        <v>1586</v>
      </c>
      <c r="J466" s="5" t="s">
        <v>211</v>
      </c>
    </row>
    <row r="467" spans="1:17" ht="45" customHeight="1" x14ac:dyDescent="0.45">
      <c r="A467" s="5" t="s">
        <v>2266</v>
      </c>
      <c r="B467" s="5" t="s">
        <v>650</v>
      </c>
      <c r="C467" s="5" t="s">
        <v>1216</v>
      </c>
      <c r="D467" s="8" t="s">
        <v>1217</v>
      </c>
      <c r="E467" s="9" t="s">
        <v>1220</v>
      </c>
      <c r="F467" s="5" t="s">
        <v>1218</v>
      </c>
      <c r="G467" s="5" t="s">
        <v>179</v>
      </c>
      <c r="H467" s="5" t="s">
        <v>1219</v>
      </c>
      <c r="I467" s="5" t="s">
        <v>592</v>
      </c>
      <c r="J467" s="5" t="s">
        <v>232</v>
      </c>
    </row>
    <row r="468" spans="1:17" ht="45" customHeight="1" x14ac:dyDescent="0.45">
      <c r="A468" s="5" t="s">
        <v>2267</v>
      </c>
      <c r="B468" s="5" t="s">
        <v>650</v>
      </c>
      <c r="C468" s="5" t="s">
        <v>1223</v>
      </c>
      <c r="D468" s="8" t="s">
        <v>1228</v>
      </c>
      <c r="E468" s="9" t="s">
        <v>1224</v>
      </c>
      <c r="F468" s="5" t="s">
        <v>105</v>
      </c>
      <c r="G468" s="5" t="s">
        <v>1139</v>
      </c>
      <c r="H468" s="5" t="s">
        <v>847</v>
      </c>
      <c r="I468" s="5" t="s">
        <v>1586</v>
      </c>
      <c r="J468" s="5" t="s">
        <v>211</v>
      </c>
      <c r="K468" s="5" t="s">
        <v>603</v>
      </c>
      <c r="O468" s="5" t="s">
        <v>1221</v>
      </c>
      <c r="P468" s="5" t="s">
        <v>1222</v>
      </c>
    </row>
    <row r="469" spans="1:17" ht="45" customHeight="1" x14ac:dyDescent="0.45">
      <c r="A469" s="5" t="s">
        <v>2268</v>
      </c>
      <c r="B469" s="5" t="s">
        <v>650</v>
      </c>
      <c r="C469" s="5" t="s">
        <v>1225</v>
      </c>
      <c r="D469" s="8" t="s">
        <v>1229</v>
      </c>
      <c r="E469" s="9" t="s">
        <v>1226</v>
      </c>
      <c r="F469" s="5" t="s">
        <v>105</v>
      </c>
      <c r="G469" s="5" t="s">
        <v>870</v>
      </c>
      <c r="I469" s="5" t="s">
        <v>592</v>
      </c>
      <c r="J469" s="5" t="s">
        <v>232</v>
      </c>
    </row>
    <row r="470" spans="1:17" ht="45" customHeight="1" x14ac:dyDescent="0.45">
      <c r="A470" s="5" t="s">
        <v>2269</v>
      </c>
      <c r="B470" s="5" t="s">
        <v>650</v>
      </c>
      <c r="C470" s="5" t="s">
        <v>1227</v>
      </c>
      <c r="D470" s="8" t="s">
        <v>1231</v>
      </c>
      <c r="E470" s="9" t="s">
        <v>1230</v>
      </c>
      <c r="F470" s="5" t="s">
        <v>105</v>
      </c>
      <c r="G470" s="5" t="s">
        <v>1179</v>
      </c>
      <c r="H470" s="5" t="s">
        <v>181</v>
      </c>
      <c r="I470" s="5" t="s">
        <v>1586</v>
      </c>
      <c r="J470" s="5" t="s">
        <v>211</v>
      </c>
    </row>
    <row r="471" spans="1:17" ht="45" customHeight="1" x14ac:dyDescent="0.45">
      <c r="A471" s="5" t="s">
        <v>2270</v>
      </c>
      <c r="B471" s="5" t="s">
        <v>650</v>
      </c>
      <c r="C471" s="5" t="s">
        <v>1234</v>
      </c>
      <c r="D471" s="8" t="s">
        <v>1235</v>
      </c>
      <c r="E471" s="9" t="s">
        <v>1232</v>
      </c>
      <c r="F471" s="5" t="s">
        <v>105</v>
      </c>
      <c r="G471" s="5" t="s">
        <v>1233</v>
      </c>
      <c r="I471" s="5" t="s">
        <v>1586</v>
      </c>
      <c r="J471" s="5" t="s">
        <v>211</v>
      </c>
    </row>
    <row r="472" spans="1:17" ht="45" customHeight="1" x14ac:dyDescent="0.45">
      <c r="A472" s="5" t="s">
        <v>2271</v>
      </c>
      <c r="B472" s="5" t="s">
        <v>650</v>
      </c>
      <c r="C472" s="5" t="s">
        <v>1238</v>
      </c>
      <c r="D472" s="8" t="s">
        <v>1239</v>
      </c>
      <c r="E472" s="9" t="s">
        <v>1240</v>
      </c>
      <c r="F472" s="5" t="s">
        <v>105</v>
      </c>
      <c r="G472" s="5" t="s">
        <v>1160</v>
      </c>
      <c r="H472" s="5" t="s">
        <v>1164</v>
      </c>
      <c r="I472" s="5" t="s">
        <v>1586</v>
      </c>
      <c r="J472" s="5" t="s">
        <v>211</v>
      </c>
      <c r="K472" s="5" t="s">
        <v>603</v>
      </c>
      <c r="O472" s="5" t="s">
        <v>1236</v>
      </c>
      <c r="P472" s="5" t="s">
        <v>1237</v>
      </c>
    </row>
    <row r="473" spans="1:17" ht="45" customHeight="1" x14ac:dyDescent="0.45">
      <c r="A473" s="5" t="s">
        <v>2272</v>
      </c>
      <c r="B473" s="5" t="s">
        <v>650</v>
      </c>
      <c r="C473" s="5" t="s">
        <v>1437</v>
      </c>
      <c r="D473" s="8" t="s">
        <v>279</v>
      </c>
      <c r="E473" s="9" t="s">
        <v>597</v>
      </c>
      <c r="F473" s="5" t="s">
        <v>105</v>
      </c>
      <c r="G473" s="5" t="s">
        <v>1139</v>
      </c>
      <c r="H473" s="5" t="s">
        <v>847</v>
      </c>
      <c r="I473" s="5" t="s">
        <v>1586</v>
      </c>
      <c r="K473" s="5" t="s">
        <v>603</v>
      </c>
      <c r="O473" s="5" t="s">
        <v>1435</v>
      </c>
      <c r="P473" s="5" t="s">
        <v>1436</v>
      </c>
    </row>
    <row r="474" spans="1:17" ht="45" customHeight="1" x14ac:dyDescent="0.45">
      <c r="A474" s="5" t="s">
        <v>2273</v>
      </c>
      <c r="B474" s="5" t="s">
        <v>650</v>
      </c>
      <c r="C474" s="5" t="s">
        <v>1241</v>
      </c>
      <c r="D474" s="8" t="s">
        <v>1242</v>
      </c>
      <c r="E474" s="9" t="s">
        <v>1243</v>
      </c>
      <c r="F474" s="5" t="s">
        <v>105</v>
      </c>
      <c r="G474" s="5" t="s">
        <v>971</v>
      </c>
      <c r="H474" s="5" t="s">
        <v>931</v>
      </c>
      <c r="I474" s="5" t="s">
        <v>662</v>
      </c>
      <c r="J474" s="5" t="s">
        <v>401</v>
      </c>
    </row>
    <row r="475" spans="1:17" ht="45" customHeight="1" x14ac:dyDescent="0.45">
      <c r="A475" s="5" t="s">
        <v>2274</v>
      </c>
      <c r="B475" s="5" t="s">
        <v>650</v>
      </c>
      <c r="C475" s="5" t="s">
        <v>1244</v>
      </c>
      <c r="D475" s="8" t="s">
        <v>1245</v>
      </c>
      <c r="E475" s="9" t="s">
        <v>1248</v>
      </c>
      <c r="F475" s="5" t="s">
        <v>105</v>
      </c>
      <c r="G475" s="5" t="s">
        <v>1246</v>
      </c>
      <c r="H475" s="5" t="s">
        <v>1247</v>
      </c>
      <c r="I475" s="5" t="s">
        <v>1586</v>
      </c>
      <c r="J475" s="5" t="s">
        <v>211</v>
      </c>
      <c r="K475" s="5" t="s">
        <v>603</v>
      </c>
    </row>
    <row r="476" spans="1:17" ht="45" customHeight="1" x14ac:dyDescent="0.45">
      <c r="A476" s="5" t="s">
        <v>2275</v>
      </c>
      <c r="B476" s="5" t="s">
        <v>650</v>
      </c>
      <c r="C476" s="5" t="s">
        <v>1249</v>
      </c>
      <c r="D476" s="8" t="s">
        <v>1250</v>
      </c>
      <c r="E476" s="9" t="s">
        <v>1251</v>
      </c>
      <c r="F476" s="5" t="s">
        <v>105</v>
      </c>
      <c r="G476" s="5" t="s">
        <v>971</v>
      </c>
      <c r="H476" s="5" t="s">
        <v>931</v>
      </c>
      <c r="I476" s="5" t="s">
        <v>1586</v>
      </c>
      <c r="J476" s="5" t="s">
        <v>211</v>
      </c>
    </row>
    <row r="477" spans="1:17" ht="45" customHeight="1" x14ac:dyDescent="0.45">
      <c r="A477" s="5" t="s">
        <v>2276</v>
      </c>
      <c r="B477" s="5" t="s">
        <v>650</v>
      </c>
      <c r="C477" s="5" t="s">
        <v>1253</v>
      </c>
      <c r="D477" s="8" t="s">
        <v>1254</v>
      </c>
      <c r="E477" s="9" t="s">
        <v>1252</v>
      </c>
      <c r="F477" s="5" t="s">
        <v>105</v>
      </c>
      <c r="G477" s="5" t="s">
        <v>971</v>
      </c>
      <c r="H477" s="5" t="s">
        <v>931</v>
      </c>
      <c r="I477" s="5" t="s">
        <v>1586</v>
      </c>
      <c r="J477" s="5" t="s">
        <v>211</v>
      </c>
    </row>
    <row r="478" spans="1:17" ht="45" customHeight="1" x14ac:dyDescent="0.45">
      <c r="A478" s="5" t="s">
        <v>2277</v>
      </c>
      <c r="B478" s="5" t="s">
        <v>650</v>
      </c>
      <c r="C478" s="5" t="s">
        <v>1257</v>
      </c>
      <c r="D478" s="8" t="s">
        <v>1258</v>
      </c>
      <c r="E478" s="9" t="s">
        <v>1252</v>
      </c>
      <c r="F478" s="5" t="s">
        <v>105</v>
      </c>
      <c r="G478" s="5" t="s">
        <v>1255</v>
      </c>
      <c r="H478" s="5" t="s">
        <v>181</v>
      </c>
      <c r="I478" s="5" t="s">
        <v>179</v>
      </c>
      <c r="J478" s="5" t="s">
        <v>1256</v>
      </c>
    </row>
    <row r="479" spans="1:17" ht="45" customHeight="1" x14ac:dyDescent="0.45">
      <c r="A479" s="5" t="s">
        <v>2278</v>
      </c>
      <c r="B479" s="5" t="s">
        <v>650</v>
      </c>
      <c r="C479" s="5" t="s">
        <v>1260</v>
      </c>
      <c r="D479" s="8" t="s">
        <v>1261</v>
      </c>
      <c r="E479" s="9" t="s">
        <v>1259</v>
      </c>
      <c r="F479" s="5" t="s">
        <v>105</v>
      </c>
      <c r="G479" s="5" t="s">
        <v>1030</v>
      </c>
      <c r="H479" s="5" t="s">
        <v>1349</v>
      </c>
      <c r="I479" s="5" t="s">
        <v>1586</v>
      </c>
      <c r="J479" s="5" t="s">
        <v>211</v>
      </c>
    </row>
    <row r="480" spans="1:17" ht="45" customHeight="1" x14ac:dyDescent="0.45">
      <c r="A480" s="5" t="s">
        <v>2279</v>
      </c>
      <c r="B480" s="5" t="s">
        <v>650</v>
      </c>
      <c r="C480" s="5" t="s">
        <v>1264</v>
      </c>
      <c r="D480" s="8" t="s">
        <v>1263</v>
      </c>
      <c r="E480" s="9" t="s">
        <v>1262</v>
      </c>
      <c r="F480" s="5" t="s">
        <v>105</v>
      </c>
      <c r="G480" s="5" t="s">
        <v>1098</v>
      </c>
      <c r="H480" s="5" t="s">
        <v>608</v>
      </c>
      <c r="I480" s="5" t="s">
        <v>1586</v>
      </c>
      <c r="J480" s="5" t="s">
        <v>211</v>
      </c>
    </row>
    <row r="481" spans="1:17" ht="45" customHeight="1" x14ac:dyDescent="0.45">
      <c r="A481" s="5" t="s">
        <v>2280</v>
      </c>
      <c r="B481" s="5" t="s">
        <v>650</v>
      </c>
      <c r="C481" s="5" t="s">
        <v>1266</v>
      </c>
      <c r="D481" s="8" t="s">
        <v>1267</v>
      </c>
      <c r="E481" s="9" t="s">
        <v>1268</v>
      </c>
      <c r="F481" s="5" t="s">
        <v>105</v>
      </c>
      <c r="G481" s="5" t="s">
        <v>1265</v>
      </c>
      <c r="H481" s="5" t="s">
        <v>908</v>
      </c>
      <c r="I481" s="5" t="s">
        <v>592</v>
      </c>
      <c r="J481" s="5" t="s">
        <v>232</v>
      </c>
      <c r="K481" s="5" t="s">
        <v>602</v>
      </c>
      <c r="M481" s="5" t="s">
        <v>819</v>
      </c>
    </row>
    <row r="482" spans="1:17" ht="45" customHeight="1" x14ac:dyDescent="0.45">
      <c r="A482" s="5" t="s">
        <v>2281</v>
      </c>
      <c r="B482" s="5" t="s">
        <v>650</v>
      </c>
      <c r="C482" s="5" t="s">
        <v>1269</v>
      </c>
      <c r="D482" s="8" t="s">
        <v>1270</v>
      </c>
      <c r="E482" s="9" t="s">
        <v>1271</v>
      </c>
      <c r="F482" s="5" t="s">
        <v>105</v>
      </c>
      <c r="G482" s="5" t="s">
        <v>1139</v>
      </c>
      <c r="H482" s="5" t="s">
        <v>847</v>
      </c>
      <c r="I482" s="5" t="s">
        <v>1586</v>
      </c>
      <c r="J482" s="5" t="s">
        <v>211</v>
      </c>
      <c r="K482" s="5" t="s">
        <v>603</v>
      </c>
      <c r="O482" s="5" t="s">
        <v>1272</v>
      </c>
      <c r="P482" s="5" t="s">
        <v>1273</v>
      </c>
    </row>
    <row r="483" spans="1:17" ht="45" customHeight="1" x14ac:dyDescent="0.45">
      <c r="A483" s="5" t="s">
        <v>2282</v>
      </c>
      <c r="B483" s="5" t="s">
        <v>650</v>
      </c>
      <c r="C483" s="5" t="s">
        <v>1274</v>
      </c>
      <c r="D483" s="8" t="s">
        <v>572</v>
      </c>
      <c r="E483" s="9" t="s">
        <v>1275</v>
      </c>
      <c r="F483" s="5" t="s">
        <v>105</v>
      </c>
      <c r="G483" s="5" t="s">
        <v>1276</v>
      </c>
      <c r="I483" s="5" t="s">
        <v>1586</v>
      </c>
      <c r="J483" s="5" t="s">
        <v>211</v>
      </c>
    </row>
    <row r="484" spans="1:17" ht="45" customHeight="1" x14ac:dyDescent="0.45">
      <c r="A484" s="5" t="s">
        <v>2283</v>
      </c>
      <c r="B484" s="5" t="s">
        <v>650</v>
      </c>
      <c r="C484" s="5" t="s">
        <v>1440</v>
      </c>
      <c r="D484" s="8" t="s">
        <v>586</v>
      </c>
      <c r="E484" s="9" t="s">
        <v>597</v>
      </c>
      <c r="F484" s="5" t="s">
        <v>105</v>
      </c>
      <c r="G484" s="5" t="s">
        <v>1139</v>
      </c>
      <c r="H484" s="5" t="s">
        <v>847</v>
      </c>
      <c r="I484" s="5" t="s">
        <v>1586</v>
      </c>
      <c r="J484" s="5" t="s">
        <v>211</v>
      </c>
      <c r="K484" s="5" t="s">
        <v>603</v>
      </c>
      <c r="O484" s="5" t="s">
        <v>1438</v>
      </c>
      <c r="P484" s="5" t="s">
        <v>1439</v>
      </c>
    </row>
    <row r="485" spans="1:17" ht="45" customHeight="1" x14ac:dyDescent="0.45">
      <c r="A485" s="5" t="s">
        <v>2284</v>
      </c>
      <c r="B485" s="5" t="s">
        <v>650</v>
      </c>
      <c r="C485" s="5" t="s">
        <v>1280</v>
      </c>
      <c r="D485" s="8" t="s">
        <v>1281</v>
      </c>
      <c r="E485" s="9" t="s">
        <v>1279</v>
      </c>
      <c r="F485" s="5" t="s">
        <v>105</v>
      </c>
      <c r="G485" s="5" t="s">
        <v>1265</v>
      </c>
      <c r="H485" s="5" t="s">
        <v>908</v>
      </c>
      <c r="I485" s="5" t="s">
        <v>1586</v>
      </c>
      <c r="J485" s="5" t="s">
        <v>211</v>
      </c>
      <c r="K485" s="5" t="s">
        <v>602</v>
      </c>
      <c r="M485" s="5" t="s">
        <v>819</v>
      </c>
      <c r="O485" s="5" t="s">
        <v>1277</v>
      </c>
      <c r="P485" s="5" t="s">
        <v>1278</v>
      </c>
    </row>
    <row r="486" spans="1:17" ht="45" customHeight="1" x14ac:dyDescent="0.45">
      <c r="A486" s="5" t="s">
        <v>2285</v>
      </c>
      <c r="B486" s="5" t="s">
        <v>650</v>
      </c>
      <c r="C486" s="5" t="s">
        <v>1282</v>
      </c>
      <c r="D486" s="8" t="s">
        <v>1283</v>
      </c>
      <c r="E486" s="9" t="s">
        <v>1279</v>
      </c>
      <c r="F486" s="5" t="s">
        <v>105</v>
      </c>
      <c r="G486" s="5" t="s">
        <v>1265</v>
      </c>
      <c r="H486" s="5" t="s">
        <v>908</v>
      </c>
      <c r="I486" s="5" t="s">
        <v>592</v>
      </c>
      <c r="J486" s="5" t="s">
        <v>232</v>
      </c>
      <c r="K486" s="5" t="s">
        <v>602</v>
      </c>
      <c r="M486" s="5" t="s">
        <v>819</v>
      </c>
    </row>
    <row r="487" spans="1:17" ht="45" customHeight="1" x14ac:dyDescent="0.45">
      <c r="A487" s="5" t="s">
        <v>2286</v>
      </c>
      <c r="B487" s="5" t="s">
        <v>650</v>
      </c>
      <c r="C487" s="5" t="s">
        <v>1286</v>
      </c>
      <c r="D487" s="8" t="s">
        <v>1287</v>
      </c>
      <c r="E487" s="9" t="s">
        <v>1288</v>
      </c>
      <c r="F487" s="5" t="s">
        <v>105</v>
      </c>
      <c r="G487" s="5" t="s">
        <v>212</v>
      </c>
      <c r="H487" s="5" t="s">
        <v>213</v>
      </c>
      <c r="I487" s="5" t="s">
        <v>1586</v>
      </c>
      <c r="J487" s="5" t="s">
        <v>211</v>
      </c>
      <c r="O487" s="5" t="s">
        <v>1284</v>
      </c>
      <c r="P487" s="5" t="s">
        <v>1285</v>
      </c>
    </row>
    <row r="488" spans="1:17" ht="45" customHeight="1" x14ac:dyDescent="0.45">
      <c r="A488" s="5" t="s">
        <v>2287</v>
      </c>
      <c r="B488" s="5" t="s">
        <v>650</v>
      </c>
      <c r="C488" s="5" t="s">
        <v>1289</v>
      </c>
      <c r="D488" s="8" t="s">
        <v>1290</v>
      </c>
      <c r="E488" s="9" t="s">
        <v>1292</v>
      </c>
      <c r="F488" s="5" t="s">
        <v>105</v>
      </c>
      <c r="G488" s="5" t="s">
        <v>1291</v>
      </c>
      <c r="I488" s="5" t="s">
        <v>1586</v>
      </c>
      <c r="J488" s="5" t="s">
        <v>211</v>
      </c>
    </row>
    <row r="489" spans="1:17" ht="45" customHeight="1" x14ac:dyDescent="0.45">
      <c r="A489" s="5" t="s">
        <v>2288</v>
      </c>
      <c r="B489" s="5" t="s">
        <v>650</v>
      </c>
      <c r="C489" s="5" t="s">
        <v>1293</v>
      </c>
      <c r="D489" s="8" t="s">
        <v>1294</v>
      </c>
      <c r="E489" s="9" t="s">
        <v>1297</v>
      </c>
      <c r="F489" s="5" t="s">
        <v>105</v>
      </c>
      <c r="G489" s="5" t="s">
        <v>1160</v>
      </c>
      <c r="H489" s="5" t="s">
        <v>1164</v>
      </c>
      <c r="I489" s="5" t="s">
        <v>1586</v>
      </c>
      <c r="J489" s="5" t="s">
        <v>211</v>
      </c>
      <c r="K489" s="5" t="s">
        <v>603</v>
      </c>
      <c r="O489" s="5" t="s">
        <v>1295</v>
      </c>
      <c r="P489" s="5" t="s">
        <v>1296</v>
      </c>
    </row>
    <row r="490" spans="1:17" ht="45" customHeight="1" x14ac:dyDescent="0.45">
      <c r="A490" s="5" t="s">
        <v>2289</v>
      </c>
      <c r="B490" s="5" t="s">
        <v>650</v>
      </c>
      <c r="C490" s="5" t="s">
        <v>1300</v>
      </c>
      <c r="D490" s="8" t="s">
        <v>1301</v>
      </c>
      <c r="E490" s="9" t="s">
        <v>1302</v>
      </c>
      <c r="F490" s="5" t="s">
        <v>105</v>
      </c>
      <c r="G490" s="5" t="s">
        <v>1139</v>
      </c>
      <c r="H490" s="5" t="s">
        <v>847</v>
      </c>
      <c r="I490" s="5" t="s">
        <v>1586</v>
      </c>
      <c r="J490" s="5" t="s">
        <v>211</v>
      </c>
      <c r="K490" s="5" t="s">
        <v>603</v>
      </c>
      <c r="O490" s="5" t="s">
        <v>1298</v>
      </c>
      <c r="P490" s="5" t="s">
        <v>1299</v>
      </c>
    </row>
    <row r="491" spans="1:17" ht="45" customHeight="1" x14ac:dyDescent="0.45">
      <c r="A491" s="5" t="s">
        <v>2290</v>
      </c>
      <c r="B491" s="5" t="s">
        <v>650</v>
      </c>
      <c r="C491" s="5" t="s">
        <v>1303</v>
      </c>
      <c r="D491" s="8" t="s">
        <v>1304</v>
      </c>
      <c r="E491" s="9" t="s">
        <v>1305</v>
      </c>
      <c r="F491" s="5" t="s">
        <v>105</v>
      </c>
      <c r="G491" s="5" t="s">
        <v>1265</v>
      </c>
      <c r="H491" s="5" t="s">
        <v>908</v>
      </c>
      <c r="I491" s="5" t="s">
        <v>1586</v>
      </c>
      <c r="J491" s="5" t="s">
        <v>211</v>
      </c>
      <c r="K491" s="5" t="s">
        <v>602</v>
      </c>
      <c r="M491" s="5" t="s">
        <v>819</v>
      </c>
    </row>
    <row r="492" spans="1:17" ht="45" customHeight="1" x14ac:dyDescent="0.45">
      <c r="A492" s="5" t="s">
        <v>2291</v>
      </c>
      <c r="B492" s="5" t="s">
        <v>650</v>
      </c>
      <c r="C492" s="5" t="s">
        <v>1308</v>
      </c>
      <c r="D492" s="8" t="s">
        <v>1309</v>
      </c>
      <c r="E492" s="9" t="s">
        <v>1310</v>
      </c>
      <c r="F492" s="5" t="s">
        <v>105</v>
      </c>
      <c r="G492" s="5" t="s">
        <v>1160</v>
      </c>
      <c r="H492" s="5" t="s">
        <v>1164</v>
      </c>
      <c r="I492" s="5" t="s">
        <v>1586</v>
      </c>
      <c r="J492" s="5" t="s">
        <v>211</v>
      </c>
      <c r="K492" s="5" t="s">
        <v>603</v>
      </c>
      <c r="O492" s="5" t="s">
        <v>1306</v>
      </c>
      <c r="P492" s="5" t="s">
        <v>1307</v>
      </c>
    </row>
    <row r="493" spans="1:17" ht="45" customHeight="1" x14ac:dyDescent="0.45">
      <c r="A493" s="5" t="s">
        <v>2292</v>
      </c>
      <c r="B493" s="5" t="s">
        <v>650</v>
      </c>
      <c r="C493" s="5" t="s">
        <v>1441</v>
      </c>
      <c r="D493" s="8" t="s">
        <v>281</v>
      </c>
      <c r="E493" s="9" t="s">
        <v>1442</v>
      </c>
      <c r="F493" s="5" t="s">
        <v>105</v>
      </c>
      <c r="G493" s="5" t="s">
        <v>1265</v>
      </c>
      <c r="H493" s="5" t="s">
        <v>908</v>
      </c>
      <c r="I493" s="5" t="s">
        <v>1586</v>
      </c>
      <c r="J493" s="5" t="s">
        <v>211</v>
      </c>
      <c r="K493" s="5" t="s">
        <v>602</v>
      </c>
      <c r="M493" s="5" t="s">
        <v>819</v>
      </c>
    </row>
    <row r="494" spans="1:17" ht="45" customHeight="1" x14ac:dyDescent="0.45">
      <c r="A494" s="5" t="s">
        <v>2293</v>
      </c>
      <c r="B494" s="5" t="s">
        <v>650</v>
      </c>
      <c r="C494" s="5" t="s">
        <v>1311</v>
      </c>
      <c r="D494" s="8" t="s">
        <v>1312</v>
      </c>
      <c r="E494" s="9" t="s">
        <v>1313</v>
      </c>
      <c r="F494" s="5" t="s">
        <v>105</v>
      </c>
      <c r="G494" s="5" t="s">
        <v>1160</v>
      </c>
      <c r="H494" s="5" t="s">
        <v>1164</v>
      </c>
      <c r="I494" s="5" t="s">
        <v>1586</v>
      </c>
      <c r="J494" s="5" t="s">
        <v>211</v>
      </c>
      <c r="K494" s="5" t="s">
        <v>603</v>
      </c>
      <c r="O494" s="5" t="s">
        <v>1314</v>
      </c>
      <c r="P494" s="5" t="s">
        <v>1315</v>
      </c>
    </row>
    <row r="495" spans="1:17" ht="45" customHeight="1" x14ac:dyDescent="0.45">
      <c r="A495" s="5" t="s">
        <v>2294</v>
      </c>
      <c r="B495" s="5" t="s">
        <v>650</v>
      </c>
      <c r="C495" s="5" t="s">
        <v>1317</v>
      </c>
      <c r="D495" s="8" t="s">
        <v>1318</v>
      </c>
      <c r="E495" s="9" t="s">
        <v>1316</v>
      </c>
      <c r="F495" s="5" t="s">
        <v>105</v>
      </c>
      <c r="G495" s="5" t="s">
        <v>1160</v>
      </c>
      <c r="H495" s="5" t="s">
        <v>1164</v>
      </c>
      <c r="I495" s="5" t="s">
        <v>1586</v>
      </c>
      <c r="J495" s="5" t="s">
        <v>211</v>
      </c>
      <c r="K495" s="5" t="s">
        <v>603</v>
      </c>
      <c r="O495" s="5" t="s">
        <v>1319</v>
      </c>
      <c r="P495" s="5" t="s">
        <v>1320</v>
      </c>
    </row>
    <row r="496" spans="1:17" ht="45" customHeight="1" x14ac:dyDescent="0.45">
      <c r="A496" s="5" t="s">
        <v>2295</v>
      </c>
      <c r="B496" s="5" t="s">
        <v>650</v>
      </c>
      <c r="C496" s="5" t="s">
        <v>1323</v>
      </c>
      <c r="D496" s="8" t="s">
        <v>1324</v>
      </c>
      <c r="E496" s="9" t="s">
        <v>1325</v>
      </c>
      <c r="F496" s="5" t="s">
        <v>105</v>
      </c>
      <c r="G496" s="5" t="s">
        <v>1139</v>
      </c>
      <c r="H496" s="5" t="s">
        <v>847</v>
      </c>
      <c r="I496" s="5" t="s">
        <v>1586</v>
      </c>
      <c r="J496" s="5" t="s">
        <v>211</v>
      </c>
      <c r="K496" s="5" t="s">
        <v>603</v>
      </c>
      <c r="O496" s="5" t="s">
        <v>1321</v>
      </c>
      <c r="P496" s="5" t="s">
        <v>1322</v>
      </c>
      <c r="Q496" s="5" t="s">
        <v>1326</v>
      </c>
    </row>
    <row r="497" spans="1:16" ht="45" customHeight="1" x14ac:dyDescent="0.45">
      <c r="A497" s="5" t="s">
        <v>2296</v>
      </c>
      <c r="B497" s="5" t="s">
        <v>650</v>
      </c>
      <c r="C497" s="5" t="s">
        <v>1329</v>
      </c>
      <c r="D497" s="8" t="s">
        <v>1330</v>
      </c>
      <c r="E497" s="9" t="s">
        <v>1328</v>
      </c>
      <c r="F497" s="5" t="s">
        <v>105</v>
      </c>
      <c r="G497" s="5" t="s">
        <v>1327</v>
      </c>
      <c r="I497" s="5" t="s">
        <v>662</v>
      </c>
      <c r="J497" s="5" t="s">
        <v>401</v>
      </c>
    </row>
    <row r="498" spans="1:16" ht="45" customHeight="1" x14ac:dyDescent="0.45">
      <c r="A498" s="5" t="s">
        <v>2297</v>
      </c>
      <c r="B498" s="5" t="s">
        <v>650</v>
      </c>
      <c r="C498" s="5" t="s">
        <v>1331</v>
      </c>
      <c r="D498" s="8" t="s">
        <v>1332</v>
      </c>
      <c r="E498" s="9" t="s">
        <v>1333</v>
      </c>
      <c r="F498" s="5" t="s">
        <v>105</v>
      </c>
      <c r="G498" s="5" t="s">
        <v>1334</v>
      </c>
      <c r="I498" s="5" t="s">
        <v>1586</v>
      </c>
      <c r="J498" s="5" t="s">
        <v>211</v>
      </c>
    </row>
    <row r="499" spans="1:16" ht="45" customHeight="1" x14ac:dyDescent="0.45">
      <c r="A499" s="5" t="s">
        <v>2298</v>
      </c>
      <c r="B499" s="5" t="s">
        <v>650</v>
      </c>
      <c r="C499" s="5" t="s">
        <v>1335</v>
      </c>
      <c r="D499" s="8" t="s">
        <v>1336</v>
      </c>
      <c r="E499" s="9" t="s">
        <v>1337</v>
      </c>
      <c r="F499" s="5" t="s">
        <v>105</v>
      </c>
      <c r="G499" s="5" t="s">
        <v>1160</v>
      </c>
      <c r="H499" s="5" t="s">
        <v>1164</v>
      </c>
      <c r="I499" s="5" t="s">
        <v>1586</v>
      </c>
      <c r="J499" s="5" t="s">
        <v>211</v>
      </c>
      <c r="K499" s="5" t="s">
        <v>603</v>
      </c>
      <c r="O499" s="5" t="s">
        <v>1338</v>
      </c>
      <c r="P499" s="5" t="s">
        <v>1339</v>
      </c>
    </row>
    <row r="500" spans="1:16" ht="45" customHeight="1" x14ac:dyDescent="0.45">
      <c r="A500" s="5" t="s">
        <v>2299</v>
      </c>
      <c r="B500" s="5" t="s">
        <v>650</v>
      </c>
      <c r="C500" s="5" t="s">
        <v>1340</v>
      </c>
      <c r="D500" s="8" t="s">
        <v>1341</v>
      </c>
      <c r="E500" s="9" t="s">
        <v>1342</v>
      </c>
      <c r="F500" s="5" t="s">
        <v>105</v>
      </c>
      <c r="G500" s="5" t="s">
        <v>1160</v>
      </c>
      <c r="H500" s="5" t="s">
        <v>1164</v>
      </c>
      <c r="I500" s="5" t="s">
        <v>1586</v>
      </c>
      <c r="J500" s="5" t="s">
        <v>211</v>
      </c>
      <c r="K500" s="5" t="s">
        <v>603</v>
      </c>
      <c r="O500" s="5" t="s">
        <v>1343</v>
      </c>
      <c r="P500" s="5" t="s">
        <v>1344</v>
      </c>
    </row>
    <row r="501" spans="1:16" ht="45" customHeight="1" x14ac:dyDescent="0.45">
      <c r="A501" s="5" t="s">
        <v>2300</v>
      </c>
      <c r="B501" s="5" t="s">
        <v>650</v>
      </c>
      <c r="C501" s="5" t="s">
        <v>1347</v>
      </c>
      <c r="D501" s="8" t="s">
        <v>1348</v>
      </c>
      <c r="E501" s="9" t="s">
        <v>1342</v>
      </c>
      <c r="F501" s="5" t="s">
        <v>105</v>
      </c>
      <c r="G501" s="5" t="s">
        <v>1139</v>
      </c>
      <c r="H501" s="5" t="s">
        <v>847</v>
      </c>
      <c r="I501" s="5" t="s">
        <v>1586</v>
      </c>
      <c r="J501" s="5" t="s">
        <v>211</v>
      </c>
      <c r="K501" s="5" t="s">
        <v>603</v>
      </c>
      <c r="O501" s="5" t="s">
        <v>1345</v>
      </c>
      <c r="P501" s="5" t="s">
        <v>1346</v>
      </c>
    </row>
  </sheetData>
  <phoneticPr fontId="3" type="noConversion"/>
  <pageMargins left="0.7" right="0.7" top="0.75" bottom="0.75" header="0.3" footer="0.3"/>
  <pageSetup orientation="portrait" horizontalDpi="1200" verticalDpi="1200"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3A763108-1213-4700-A76C-6A94BD7D73B0}">
          <x14:formula1>
            <xm:f>'Drop Down Lists'!$B:$B</xm:f>
          </x14:formula1>
          <xm:sqref>K460:K501 K427 K438 K442:K443 K446:K455 H463 K2:K424 L502:L1048576</xm:sqref>
        </x14:dataValidation>
        <x14:dataValidation type="list" allowBlank="1" showInputMessage="1" showErrorMessage="1" xr:uid="{99B8B5E6-6197-44B4-A020-5C65E0C25DCD}">
          <x14:formula1>
            <xm:f>'Drop Down Lists'!$D:$D</xm:f>
          </x14:formula1>
          <xm:sqref>L2:L501 M502:M1048576</xm:sqref>
        </x14:dataValidation>
        <x14:dataValidation type="list" allowBlank="1" showInputMessage="1" showErrorMessage="1" xr:uid="{7F3175ED-AD60-4667-8E53-786A4E4AF9CF}">
          <x14:formula1>
            <xm:f>'Drop Down Lists'!$F:$F</xm:f>
          </x14:formula1>
          <xm:sqref>M2:M501 N502:N1048576</xm:sqref>
        </x14:dataValidation>
        <x14:dataValidation type="list" allowBlank="1" showInputMessage="1" showErrorMessage="1" xr:uid="{FD648A79-CFC3-4AFB-A61E-493485FB702C}">
          <x14:formula1>
            <xm:f>'Drop Down Lists'!$H:$H</xm:f>
          </x14:formula1>
          <xm:sqref>N2:N501 O502:O1048576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D5DAE-E9D9-4136-BBF1-5ED2208B983C}">
  <dimension ref="A1:J501"/>
  <sheetViews>
    <sheetView zoomScaleNormal="100" workbookViewId="0">
      <pane ySplit="1" topLeftCell="A4973" activePane="bottomLeft" state="frozen"/>
      <selection pane="bottomLeft" activeCell="D4989" sqref="D4989"/>
    </sheetView>
  </sheetViews>
  <sheetFormatPr defaultColWidth="36.1328125" defaultRowHeight="14.25" x14ac:dyDescent="0.45"/>
  <cols>
    <col min="1" max="1" width="15.86328125" customWidth="1"/>
    <col min="2" max="2" width="14.53125" customWidth="1"/>
    <col min="3" max="3" width="19" customWidth="1"/>
    <col min="4" max="5" width="19" style="10" customWidth="1"/>
    <col min="6" max="7" width="36.1328125" customWidth="1"/>
    <col min="8" max="8" width="26" customWidth="1"/>
    <col min="9" max="10" width="19" customWidth="1"/>
  </cols>
  <sheetData>
    <row r="1" spans="1:10" x14ac:dyDescent="0.45">
      <c r="A1" t="str" cm="1">
        <f t="array" ref="A1:A501">'Raw Data'!$A1:$A501</f>
        <v>Unique ID</v>
      </c>
      <c r="B1" t="str" cm="1">
        <f t="array" ref="B1:B501">'Raw Data'!$E1:$E501</f>
        <v>Date*</v>
      </c>
      <c r="C1" t="str" cm="1">
        <f t="array" ref="C1:C501">'Raw Data'!$F1:$F501</f>
        <v>Source Location</v>
      </c>
      <c r="D1" t="s">
        <v>2305</v>
      </c>
      <c r="E1" t="s">
        <v>2306</v>
      </c>
      <c r="F1" t="str" cm="1">
        <f t="array" ref="F1:F501">'Raw Data'!$G1:$G501</f>
        <v>Source</v>
      </c>
      <c r="G1" t="str" cm="1">
        <f t="array" ref="G1:G501">'Raw Data'!$I1:$I501</f>
        <v>Target</v>
      </c>
      <c r="H1" t="s">
        <v>2307</v>
      </c>
      <c r="I1" t="s">
        <v>2308</v>
      </c>
      <c r="J1" t="s">
        <v>2309</v>
      </c>
    </row>
    <row r="2" spans="1:10" x14ac:dyDescent="0.45">
      <c r="A2" t="str">
        <v>ID_00001</v>
      </c>
      <c r="B2" t="str">
        <v>1624/04/12</v>
      </c>
      <c r="C2" t="str">
        <v>Pisa</v>
      </c>
      <c r="D2" s="10">
        <f>_xlfn.XLOOKUP(C2,'Place Profiles'!A:A,'Place Profiles'!B:B,"0")</f>
        <v>43.722514463828503</v>
      </c>
      <c r="E2" s="10">
        <f>_xlfn.XLOOKUP(C2,'Place Profiles'!A:A,'Place Profiles'!C:C,"0")</f>
        <v>10.3960522879613</v>
      </c>
      <c r="F2" t="str">
        <v>della Rena, Horatzio</v>
      </c>
      <c r="G2" t="str">
        <v>von Habsburg, Maria Magdalena</v>
      </c>
      <c r="H2" t="str" cm="1">
        <f t="array" ref="H2">_xlfn.LET(
_xlpm.t,$G2,
_xlpm.cands,_xlfn._xlws.FILTER('Place Profiles'!$G$2:$G$929,'Place Profiles'!$G$2:$G$929&lt;&gt;""),
_xlpm.counts,COUNTIFS('Raw Data'!$G$2:$G$501,_xlpm.t,'Raw Data'!$F$2:$F$501,_xlpm.cands),
_xlpm.mx,MAX(_xlpm.counts),
IF(_xlpm.mx=0,0,_xlfn.TEXTJOIN(" / ",TRUE,_xlfn._xlws.FILTER(_xlpm.cands,_xlpm.counts=_xlpm.mx)))
)</f>
        <v>Firenze/Fiorenza</v>
      </c>
      <c r="I2">
        <f>_xlfn.XLOOKUP(H2,'Place Profiles'!A:A,'Place Profiles'!B:B,"0")</f>
        <v>43.773821664204803</v>
      </c>
      <c r="J2">
        <f>_xlfn.XLOOKUP(H2,'Place Profiles'!A:A,'Place Profiles'!C:C,"0")</f>
        <v>11.2555362617661</v>
      </c>
    </row>
    <row r="3" spans="1:10" x14ac:dyDescent="0.45">
      <c r="A3" t="str">
        <v>ID_00002</v>
      </c>
      <c r="B3" t="str">
        <v>1623/02/19</v>
      </c>
      <c r="C3" t="str">
        <v>Pisa</v>
      </c>
      <c r="D3" s="10">
        <f>_xlfn.XLOOKUP(C3,'Place Profiles'!A:A,'Place Profiles'!B:B,"0")</f>
        <v>43.722514463828503</v>
      </c>
      <c r="E3" s="10">
        <f>_xlfn.XLOOKUP(C3,'Place Profiles'!A:A,'Place Profiles'!C:C,"0")</f>
        <v>10.3960522879613</v>
      </c>
      <c r="F3" t="str">
        <v>della Rena, Horatzio</v>
      </c>
      <c r="G3" t="str">
        <v>von Habsburg, Maria Magdalena</v>
      </c>
      <c r="H3" t="str" cm="1">
        <f t="array" ref="H3">_xlfn.LET(
_xlpm.t,$G3,
_xlpm.cands,_xlfn._xlws.FILTER('Place Profiles'!$G$2:$G$929,'Place Profiles'!$G$2:$G$929&lt;&gt;""),
_xlpm.counts,COUNTIFS('Raw Data'!$G$2:$G$501,_xlpm.t,'Raw Data'!$F$2:$F$501,_xlpm.cands),
_xlpm.mx,MAX(_xlpm.counts),
IF(_xlpm.mx=0,0,_xlfn.TEXTJOIN(" / ",TRUE,_xlfn._xlws.FILTER(_xlpm.cands,_xlpm.counts=_xlpm.mx)))
)</f>
        <v>Firenze/Fiorenza</v>
      </c>
      <c r="I3">
        <f>_xlfn.XLOOKUP(H3,'Place Profiles'!A:A,'Place Profiles'!B:B,"0")</f>
        <v>43.773821664204803</v>
      </c>
      <c r="J3">
        <f>_xlfn.XLOOKUP(H3,'Place Profiles'!A:A,'Place Profiles'!C:C,"0")</f>
        <v>11.2555362617661</v>
      </c>
    </row>
    <row r="4" spans="1:10" x14ac:dyDescent="0.45">
      <c r="A4" t="str">
        <v>ID_00003</v>
      </c>
      <c r="B4" t="str">
        <v>1609/08/22</v>
      </c>
      <c r="C4" t="str">
        <v>Firenze/Fiorenza</v>
      </c>
      <c r="D4" s="10">
        <f>_xlfn.XLOOKUP(C4,'Place Profiles'!A:A,'Place Profiles'!B:B,"0")</f>
        <v>43.773821664204803</v>
      </c>
      <c r="E4" s="10">
        <f>_xlfn.XLOOKUP(C4,'Place Profiles'!A:A,'Place Profiles'!C:C,"0")</f>
        <v>11.2555362617661</v>
      </c>
      <c r="F4" t="str">
        <v>von Habsburg, Maria Magdalena</v>
      </c>
      <c r="G4" t="str">
        <v>d'Elci, Orso</v>
      </c>
      <c r="H4" t="str" cm="1">
        <f t="array" ref="H4">_xlfn.LET(
_xlpm.t,$G4,
_xlpm.cands,_xlfn._xlws.FILTER('Place Profiles'!$G$2:$G$929,'Place Profiles'!$G$2:$G$929&lt;&gt;""),
_xlpm.counts,COUNTIFS('Raw Data'!$G$2:$G$501,_xlpm.t,'Raw Data'!$F$2:$F$501,_xlpm.cands),
_xlpm.mx,MAX(_xlpm.counts),
IF(_xlpm.mx=0,0,_xlfn.TEXTJOIN(" / ",TRUE,_xlfn._xlws.FILTER(_xlpm.cands,_xlpm.counts=_xlpm.mx)))
)</f>
        <v>Siena</v>
      </c>
      <c r="I4">
        <f>_xlfn.XLOOKUP(H4,'Place Profiles'!A:A,'Place Profiles'!B:B,"0")</f>
        <v>43.3184768539152</v>
      </c>
      <c r="J4">
        <f>_xlfn.XLOOKUP(H4,'Place Profiles'!A:A,'Place Profiles'!C:C,"0")</f>
        <v>11.3310792700061</v>
      </c>
    </row>
    <row r="5" spans="1:10" x14ac:dyDescent="0.45">
      <c r="A5" t="str">
        <v>ID_00004</v>
      </c>
      <c r="B5" t="str">
        <v>1609/10/13</v>
      </c>
      <c r="C5" t="str">
        <v>Firenze/Fiorenza</v>
      </c>
      <c r="D5" s="10">
        <f>_xlfn.XLOOKUP(C5,'Place Profiles'!A:A,'Place Profiles'!B:B,"0")</f>
        <v>43.773821664204803</v>
      </c>
      <c r="E5" s="10">
        <f>_xlfn.XLOOKUP(C5,'Place Profiles'!A:A,'Place Profiles'!C:C,"0")</f>
        <v>11.2555362617661</v>
      </c>
      <c r="F5" t="str">
        <v>von Habsburg, Maria Magdalena</v>
      </c>
      <c r="G5" t="str">
        <v>d'Elci, Orso</v>
      </c>
      <c r="H5" t="str" cm="1">
        <f t="array" ref="H5">_xlfn.LET(
_xlpm.t,$G5,
_xlpm.cands,_xlfn._xlws.FILTER('Place Profiles'!$G$2:$G$929,'Place Profiles'!$G$2:$G$929&lt;&gt;""),
_xlpm.counts,COUNTIFS('Raw Data'!$G$2:$G$501,_xlpm.t,'Raw Data'!$F$2:$F$501,_xlpm.cands),
_xlpm.mx,MAX(_xlpm.counts),
IF(_xlpm.mx=0,0,_xlfn.TEXTJOIN(" / ",TRUE,_xlfn._xlws.FILTER(_xlpm.cands,_xlpm.counts=_xlpm.mx)))
)</f>
        <v>Siena</v>
      </c>
      <c r="I5">
        <f>_xlfn.XLOOKUP(H5,'Place Profiles'!A:A,'Place Profiles'!B:B,"0")</f>
        <v>43.3184768539152</v>
      </c>
      <c r="J5">
        <f>_xlfn.XLOOKUP(H5,'Place Profiles'!A:A,'Place Profiles'!C:C,"0")</f>
        <v>11.3310792700061</v>
      </c>
    </row>
    <row r="6" spans="1:10" x14ac:dyDescent="0.45">
      <c r="A6" t="str">
        <v>ID_00005</v>
      </c>
      <c r="B6" t="str">
        <v>1609/08/22</v>
      </c>
      <c r="C6" t="str">
        <v>Firenze/Fiorenza</v>
      </c>
      <c r="D6" s="10">
        <f>_xlfn.XLOOKUP(C6,'Place Profiles'!A:A,'Place Profiles'!B:B,"0")</f>
        <v>43.773821664204803</v>
      </c>
      <c r="E6" s="10">
        <f>_xlfn.XLOOKUP(C6,'Place Profiles'!A:A,'Place Profiles'!C:C,"0")</f>
        <v>11.2555362617661</v>
      </c>
      <c r="F6" t="str">
        <v>von Habsburg, Maria Magdalena</v>
      </c>
      <c r="G6" t="str">
        <v>d'Elci, Orso</v>
      </c>
      <c r="H6" t="str" cm="1">
        <f t="array" ref="H6">_xlfn.LET(
_xlpm.t,$G6,
_xlpm.cands,_xlfn._xlws.FILTER('Place Profiles'!$G$2:$G$929,'Place Profiles'!$G$2:$G$929&lt;&gt;""),
_xlpm.counts,COUNTIFS('Raw Data'!$G$2:$G$501,_xlpm.t,'Raw Data'!$F$2:$F$501,_xlpm.cands),
_xlpm.mx,MAX(_xlpm.counts),
IF(_xlpm.mx=0,0,_xlfn.TEXTJOIN(" / ",TRUE,_xlfn._xlws.FILTER(_xlpm.cands,_xlpm.counts=_xlpm.mx)))
)</f>
        <v>Siena</v>
      </c>
      <c r="I6">
        <f>_xlfn.XLOOKUP(H6,'Place Profiles'!A:A,'Place Profiles'!B:B,"0")</f>
        <v>43.3184768539152</v>
      </c>
      <c r="J6">
        <f>_xlfn.XLOOKUP(H6,'Place Profiles'!A:A,'Place Profiles'!C:C,"0")</f>
        <v>11.3310792700061</v>
      </c>
    </row>
    <row r="7" spans="1:10" x14ac:dyDescent="0.45">
      <c r="A7" t="str">
        <v>ID_00006</v>
      </c>
      <c r="B7" t="str">
        <v>1610/09/02</v>
      </c>
      <c r="C7" t="str">
        <v>Firenze/Fiorenza</v>
      </c>
      <c r="D7" s="10">
        <f>_xlfn.XLOOKUP(C7,'Place Profiles'!A:A,'Place Profiles'!B:B,"0")</f>
        <v>43.773821664204803</v>
      </c>
      <c r="E7" s="10">
        <f>_xlfn.XLOOKUP(C7,'Place Profiles'!A:A,'Place Profiles'!C:C,"0")</f>
        <v>11.2555362617661</v>
      </c>
      <c r="F7" t="str">
        <v>von Habsburg, Maria Magdalena</v>
      </c>
      <c r="G7" t="str">
        <v>d'Elci, Orso</v>
      </c>
      <c r="H7" t="str" cm="1">
        <f t="array" ref="H7">_xlfn.LET(
_xlpm.t,$G7,
_xlpm.cands,_xlfn._xlws.FILTER('Place Profiles'!$G$2:$G$929,'Place Profiles'!$G$2:$G$929&lt;&gt;""),
_xlpm.counts,COUNTIFS('Raw Data'!$G$2:$G$501,_xlpm.t,'Raw Data'!$F$2:$F$501,_xlpm.cands),
_xlpm.mx,MAX(_xlpm.counts),
IF(_xlpm.mx=0,0,_xlfn.TEXTJOIN(" / ",TRUE,_xlfn._xlws.FILTER(_xlpm.cands,_xlpm.counts=_xlpm.mx)))
)</f>
        <v>Siena</v>
      </c>
      <c r="I7">
        <f>_xlfn.XLOOKUP(H7,'Place Profiles'!A:A,'Place Profiles'!B:B,"0")</f>
        <v>43.3184768539152</v>
      </c>
      <c r="J7">
        <f>_xlfn.XLOOKUP(H7,'Place Profiles'!A:A,'Place Profiles'!C:C,"0")</f>
        <v>11.3310792700061</v>
      </c>
    </row>
    <row r="8" spans="1:10" x14ac:dyDescent="0.45">
      <c r="A8" t="str">
        <v>ID_00007</v>
      </c>
      <c r="B8" t="str">
        <v>1610/10/09</v>
      </c>
      <c r="C8" t="str">
        <v>Firenze/Fiorenza</v>
      </c>
      <c r="D8" s="10">
        <f>_xlfn.XLOOKUP(C8,'Place Profiles'!A:A,'Place Profiles'!B:B,"0")</f>
        <v>43.773821664204803</v>
      </c>
      <c r="E8" s="10">
        <f>_xlfn.XLOOKUP(C8,'Place Profiles'!A:A,'Place Profiles'!C:C,"0")</f>
        <v>11.2555362617661</v>
      </c>
      <c r="F8" t="str">
        <v>von Habsburg, Maria Magdalena</v>
      </c>
      <c r="G8" t="str">
        <v>d'Elci, Orso</v>
      </c>
      <c r="H8" t="str" cm="1">
        <f t="array" ref="H8">_xlfn.LET(
_xlpm.t,$G8,
_xlpm.cands,_xlfn._xlws.FILTER('Place Profiles'!$G$2:$G$929,'Place Profiles'!$G$2:$G$929&lt;&gt;""),
_xlpm.counts,COUNTIFS('Raw Data'!$G$2:$G$501,_xlpm.t,'Raw Data'!$F$2:$F$501,_xlpm.cands),
_xlpm.mx,MAX(_xlpm.counts),
IF(_xlpm.mx=0,0,_xlfn.TEXTJOIN(" / ",TRUE,_xlfn._xlws.FILTER(_xlpm.cands,_xlpm.counts=_xlpm.mx)))
)</f>
        <v>Siena</v>
      </c>
      <c r="I8">
        <f>_xlfn.XLOOKUP(H8,'Place Profiles'!A:A,'Place Profiles'!B:B,"0")</f>
        <v>43.3184768539152</v>
      </c>
      <c r="J8">
        <f>_xlfn.XLOOKUP(H8,'Place Profiles'!A:A,'Place Profiles'!C:C,"0")</f>
        <v>11.3310792700061</v>
      </c>
    </row>
    <row r="9" spans="1:10" x14ac:dyDescent="0.45">
      <c r="A9" t="str">
        <v>ID_00008</v>
      </c>
      <c r="B9" t="str">
        <v>1610/12/01</v>
      </c>
      <c r="C9" t="str">
        <v>Firenze/Fiorenza</v>
      </c>
      <c r="D9" s="10">
        <f>_xlfn.XLOOKUP(C9,'Place Profiles'!A:A,'Place Profiles'!B:B,"0")</f>
        <v>43.773821664204803</v>
      </c>
      <c r="E9" s="10">
        <f>_xlfn.XLOOKUP(C9,'Place Profiles'!A:A,'Place Profiles'!C:C,"0")</f>
        <v>11.2555362617661</v>
      </c>
      <c r="F9" t="str">
        <v>von Habsburg, Maria Magdalena</v>
      </c>
      <c r="G9" t="str">
        <v>d'Elci, Orso</v>
      </c>
      <c r="H9" t="str" cm="1">
        <f t="array" ref="H9">_xlfn.LET(
_xlpm.t,$G9,
_xlpm.cands,_xlfn._xlws.FILTER('Place Profiles'!$G$2:$G$929,'Place Profiles'!$G$2:$G$929&lt;&gt;""),
_xlpm.counts,COUNTIFS('Raw Data'!$G$2:$G$501,_xlpm.t,'Raw Data'!$F$2:$F$501,_xlpm.cands),
_xlpm.mx,MAX(_xlpm.counts),
IF(_xlpm.mx=0,0,_xlfn.TEXTJOIN(" / ",TRUE,_xlfn._xlws.FILTER(_xlpm.cands,_xlpm.counts=_xlpm.mx)))
)</f>
        <v>Siena</v>
      </c>
      <c r="I9">
        <f>_xlfn.XLOOKUP(H9,'Place Profiles'!A:A,'Place Profiles'!B:B,"0")</f>
        <v>43.3184768539152</v>
      </c>
      <c r="J9">
        <f>_xlfn.XLOOKUP(H9,'Place Profiles'!A:A,'Place Profiles'!C:C,"0")</f>
        <v>11.3310792700061</v>
      </c>
    </row>
    <row r="10" spans="1:10" x14ac:dyDescent="0.45">
      <c r="A10" t="str">
        <v>ID_00009</v>
      </c>
      <c r="B10" t="str">
        <v>1610/02/10</v>
      </c>
      <c r="C10" t="str">
        <v>Firenze/Fiorenza</v>
      </c>
      <c r="D10" s="10">
        <f>_xlfn.XLOOKUP(C10,'Place Profiles'!A:A,'Place Profiles'!B:B,"0")</f>
        <v>43.773821664204803</v>
      </c>
      <c r="E10" s="10">
        <f>_xlfn.XLOOKUP(C10,'Place Profiles'!A:A,'Place Profiles'!C:C,"0")</f>
        <v>11.2555362617661</v>
      </c>
      <c r="F10" t="str">
        <v>von Habsburg, Maria Magdalena</v>
      </c>
      <c r="G10" t="str">
        <v>d'Elci, Orso</v>
      </c>
      <c r="H10" t="str" cm="1">
        <f t="array" ref="H10">_xlfn.LET(
_xlpm.t,$G10,
_xlpm.cands,_xlfn._xlws.FILTER('Place Profiles'!$G$2:$G$929,'Place Profiles'!$G$2:$G$929&lt;&gt;""),
_xlpm.counts,COUNTIFS('Raw Data'!$G$2:$G$501,_xlpm.t,'Raw Data'!$F$2:$F$501,_xlpm.cands),
_xlpm.mx,MAX(_xlpm.counts),
IF(_xlpm.mx=0,0,_xlfn.TEXTJOIN(" / ",TRUE,_xlfn._xlws.FILTER(_xlpm.cands,_xlpm.counts=_xlpm.mx)))
)</f>
        <v>Siena</v>
      </c>
      <c r="I10">
        <f>_xlfn.XLOOKUP(H10,'Place Profiles'!A:A,'Place Profiles'!B:B,"0")</f>
        <v>43.3184768539152</v>
      </c>
      <c r="J10">
        <f>_xlfn.XLOOKUP(H10,'Place Profiles'!A:A,'Place Profiles'!C:C,"0")</f>
        <v>11.3310792700061</v>
      </c>
    </row>
    <row r="11" spans="1:10" x14ac:dyDescent="0.45">
      <c r="A11" t="str">
        <v>ID_00010</v>
      </c>
      <c r="B11" t="str">
        <v>1611/06/08</v>
      </c>
      <c r="C11" t="str">
        <v>Firenze/Fiorenza</v>
      </c>
      <c r="D11" s="10">
        <f>_xlfn.XLOOKUP(C11,'Place Profiles'!A:A,'Place Profiles'!B:B,"0")</f>
        <v>43.773821664204803</v>
      </c>
      <c r="E11" s="10">
        <f>_xlfn.XLOOKUP(C11,'Place Profiles'!A:A,'Place Profiles'!C:C,"0")</f>
        <v>11.2555362617661</v>
      </c>
      <c r="F11" t="str">
        <v>von Habsburg, Maria Magdalena</v>
      </c>
      <c r="G11" t="str">
        <v>d'Elci, Orso</v>
      </c>
      <c r="H11" t="str" cm="1">
        <f t="array" ref="H11">_xlfn.LET(
_xlpm.t,$G11,
_xlpm.cands,_xlfn._xlws.FILTER('Place Profiles'!$G$2:$G$929,'Place Profiles'!$G$2:$G$929&lt;&gt;""),
_xlpm.counts,COUNTIFS('Raw Data'!$G$2:$G$501,_xlpm.t,'Raw Data'!$F$2:$F$501,_xlpm.cands),
_xlpm.mx,MAX(_xlpm.counts),
IF(_xlpm.mx=0,0,_xlfn.TEXTJOIN(" / ",TRUE,_xlfn._xlws.FILTER(_xlpm.cands,_xlpm.counts=_xlpm.mx)))
)</f>
        <v>Siena</v>
      </c>
      <c r="I11">
        <f>_xlfn.XLOOKUP(H11,'Place Profiles'!A:A,'Place Profiles'!B:B,"0")</f>
        <v>43.3184768539152</v>
      </c>
      <c r="J11">
        <f>_xlfn.XLOOKUP(H11,'Place Profiles'!A:A,'Place Profiles'!C:C,"0")</f>
        <v>11.3310792700061</v>
      </c>
    </row>
    <row r="12" spans="1:10" x14ac:dyDescent="0.45">
      <c r="A12" t="str">
        <v>ID_00011</v>
      </c>
      <c r="B12" t="str">
        <v>1611/07/22</v>
      </c>
      <c r="C12" t="str">
        <v>Firenze/Fiorenza</v>
      </c>
      <c r="D12" s="10">
        <f>_xlfn.XLOOKUP(C12,'Place Profiles'!A:A,'Place Profiles'!B:B,"0")</f>
        <v>43.773821664204803</v>
      </c>
      <c r="E12" s="10">
        <f>_xlfn.XLOOKUP(C12,'Place Profiles'!A:A,'Place Profiles'!C:C,"0")</f>
        <v>11.2555362617661</v>
      </c>
      <c r="F12" t="str">
        <v>von Habsburg, Maria Magdalena</v>
      </c>
      <c r="G12" t="str">
        <v>d'Elci, Orso</v>
      </c>
      <c r="H12" t="str" cm="1">
        <f t="array" ref="H12">_xlfn.LET(
_xlpm.t,$G12,
_xlpm.cands,_xlfn._xlws.FILTER('Place Profiles'!$G$2:$G$929,'Place Profiles'!$G$2:$G$929&lt;&gt;""),
_xlpm.counts,COUNTIFS('Raw Data'!$G$2:$G$501,_xlpm.t,'Raw Data'!$F$2:$F$501,_xlpm.cands),
_xlpm.mx,MAX(_xlpm.counts),
IF(_xlpm.mx=0,0,_xlfn.TEXTJOIN(" / ",TRUE,_xlfn._xlws.FILTER(_xlpm.cands,_xlpm.counts=_xlpm.mx)))
)</f>
        <v>Siena</v>
      </c>
      <c r="I12">
        <f>_xlfn.XLOOKUP(H12,'Place Profiles'!A:A,'Place Profiles'!B:B,"0")</f>
        <v>43.3184768539152</v>
      </c>
      <c r="J12">
        <f>_xlfn.XLOOKUP(H12,'Place Profiles'!A:A,'Place Profiles'!C:C,"0")</f>
        <v>11.3310792700061</v>
      </c>
    </row>
    <row r="13" spans="1:10" x14ac:dyDescent="0.45">
      <c r="A13" t="str">
        <v>ID_00012</v>
      </c>
      <c r="B13" t="str">
        <v>1611/09/12</v>
      </c>
      <c r="C13" t="str">
        <v>Firenze/Fiorenza</v>
      </c>
      <c r="D13" s="10">
        <f>_xlfn.XLOOKUP(C13,'Place Profiles'!A:A,'Place Profiles'!B:B,"0")</f>
        <v>43.773821664204803</v>
      </c>
      <c r="E13" s="10">
        <f>_xlfn.XLOOKUP(C13,'Place Profiles'!A:A,'Place Profiles'!C:C,"0")</f>
        <v>11.2555362617661</v>
      </c>
      <c r="F13" t="str">
        <v>von Habsburg, Maria Magdalena</v>
      </c>
      <c r="G13" t="str">
        <v>d'Elci, Orso</v>
      </c>
      <c r="H13" t="str" cm="1">
        <f t="array" ref="H13">_xlfn.LET(
_xlpm.t,$G13,
_xlpm.cands,_xlfn._xlws.FILTER('Place Profiles'!$G$2:$G$929,'Place Profiles'!$G$2:$G$929&lt;&gt;""),
_xlpm.counts,COUNTIFS('Raw Data'!$G$2:$G$501,_xlpm.t,'Raw Data'!$F$2:$F$501,_xlpm.cands),
_xlpm.mx,MAX(_xlpm.counts),
IF(_xlpm.mx=0,0,_xlfn.TEXTJOIN(" / ",TRUE,_xlfn._xlws.FILTER(_xlpm.cands,_xlpm.counts=_xlpm.mx)))
)</f>
        <v>Siena</v>
      </c>
      <c r="I13">
        <f>_xlfn.XLOOKUP(H13,'Place Profiles'!A:A,'Place Profiles'!B:B,"0")</f>
        <v>43.3184768539152</v>
      </c>
      <c r="J13">
        <f>_xlfn.XLOOKUP(H13,'Place Profiles'!A:A,'Place Profiles'!C:C,"0")</f>
        <v>11.3310792700061</v>
      </c>
    </row>
    <row r="14" spans="1:10" x14ac:dyDescent="0.45">
      <c r="A14" t="str">
        <v>ID_00013</v>
      </c>
      <c r="B14" t="str">
        <v>1615/10/02</v>
      </c>
      <c r="C14" t="str">
        <v>Cafaggiuolo</v>
      </c>
      <c r="D14" s="10">
        <f>_xlfn.XLOOKUP(C14,'Place Profiles'!A:A,'Place Profiles'!B:B,"0")</f>
        <v>43.963866003022503</v>
      </c>
      <c r="E14" s="10">
        <f>_xlfn.XLOOKUP(C14,'Place Profiles'!A:A,'Place Profiles'!C:C,"0")</f>
        <v>11.293955237890399</v>
      </c>
      <c r="F14" t="str">
        <v>von Habsburg, Maria Magdalena</v>
      </c>
      <c r="G14" t="str">
        <v>d'Elci, Orso</v>
      </c>
      <c r="H14" t="str" cm="1">
        <f t="array" ref="H14">_xlfn.LET(
_xlpm.t,$G14,
_xlpm.cands,_xlfn._xlws.FILTER('Place Profiles'!$G$2:$G$929,'Place Profiles'!$G$2:$G$929&lt;&gt;""),
_xlpm.counts,COUNTIFS('Raw Data'!$G$2:$G$501,_xlpm.t,'Raw Data'!$F$2:$F$501,_xlpm.cands),
_xlpm.mx,MAX(_xlpm.counts),
IF(_xlpm.mx=0,0,_xlfn.TEXTJOIN(" / ",TRUE,_xlfn._xlws.FILTER(_xlpm.cands,_xlpm.counts=_xlpm.mx)))
)</f>
        <v>Siena</v>
      </c>
      <c r="I14">
        <f>_xlfn.XLOOKUP(H14,'Place Profiles'!A:A,'Place Profiles'!B:B,"0")</f>
        <v>43.3184768539152</v>
      </c>
      <c r="J14">
        <f>_xlfn.XLOOKUP(H14,'Place Profiles'!A:A,'Place Profiles'!C:C,"0")</f>
        <v>11.3310792700061</v>
      </c>
    </row>
    <row r="15" spans="1:10" x14ac:dyDescent="0.45">
      <c r="A15" t="str">
        <v>ID_00014</v>
      </c>
      <c r="B15" t="str">
        <v>1615/10/22</v>
      </c>
      <c r="C15" t="str">
        <v>Firenze/Fiorenza</v>
      </c>
      <c r="D15" s="10">
        <f>_xlfn.XLOOKUP(C15,'Place Profiles'!A:A,'Place Profiles'!B:B,"0")</f>
        <v>43.773821664204803</v>
      </c>
      <c r="E15" s="10">
        <f>_xlfn.XLOOKUP(C15,'Place Profiles'!A:A,'Place Profiles'!C:C,"0")</f>
        <v>11.2555362617661</v>
      </c>
      <c r="F15" t="str">
        <v>von Habsburg, Maria Magdalena</v>
      </c>
      <c r="G15" t="str">
        <v>d'Elci, Orso</v>
      </c>
      <c r="H15" t="str" cm="1">
        <f t="array" ref="H15">_xlfn.LET(
_xlpm.t,$G15,
_xlpm.cands,_xlfn._xlws.FILTER('Place Profiles'!$G$2:$G$929,'Place Profiles'!$G$2:$G$929&lt;&gt;""),
_xlpm.counts,COUNTIFS('Raw Data'!$G$2:$G$501,_xlpm.t,'Raw Data'!$F$2:$F$501,_xlpm.cands),
_xlpm.mx,MAX(_xlpm.counts),
IF(_xlpm.mx=0,0,_xlfn.TEXTJOIN(" / ",TRUE,_xlfn._xlws.FILTER(_xlpm.cands,_xlpm.counts=_xlpm.mx)))
)</f>
        <v>Siena</v>
      </c>
      <c r="I15">
        <f>_xlfn.XLOOKUP(H15,'Place Profiles'!A:A,'Place Profiles'!B:B,"0")</f>
        <v>43.3184768539152</v>
      </c>
      <c r="J15">
        <f>_xlfn.XLOOKUP(H15,'Place Profiles'!A:A,'Place Profiles'!C:C,"0")</f>
        <v>11.3310792700061</v>
      </c>
    </row>
    <row r="16" spans="1:10" x14ac:dyDescent="0.45">
      <c r="A16" t="str">
        <v>ID_00015</v>
      </c>
      <c r="B16" t="str">
        <v>1611/11/06</v>
      </c>
      <c r="C16" t="str">
        <v>Siena</v>
      </c>
      <c r="D16" s="10">
        <f>_xlfn.XLOOKUP(C16,'Place Profiles'!A:A,'Place Profiles'!B:B,"0")</f>
        <v>43.3184768539152</v>
      </c>
      <c r="E16" s="10">
        <f>_xlfn.XLOOKUP(C16,'Place Profiles'!A:A,'Place Profiles'!C:C,"0")</f>
        <v>11.3310792700061</v>
      </c>
      <c r="F16" t="str">
        <v>von Habsburg, Maria Magdalena</v>
      </c>
      <c r="G16" t="str">
        <v>d'Elci, Orso</v>
      </c>
      <c r="H16" t="str" cm="1">
        <f t="array" ref="H16">_xlfn.LET(
_xlpm.t,$G16,
_xlpm.cands,_xlfn._xlws.FILTER('Place Profiles'!$G$2:$G$929,'Place Profiles'!$G$2:$G$929&lt;&gt;""),
_xlpm.counts,COUNTIFS('Raw Data'!$G$2:$G$501,_xlpm.t,'Raw Data'!$F$2:$F$501,_xlpm.cands),
_xlpm.mx,MAX(_xlpm.counts),
IF(_xlpm.mx=0,0,_xlfn.TEXTJOIN(" / ",TRUE,_xlfn._xlws.FILTER(_xlpm.cands,_xlpm.counts=_xlpm.mx)))
)</f>
        <v>Siena</v>
      </c>
      <c r="I16">
        <f>_xlfn.XLOOKUP(H16,'Place Profiles'!A:A,'Place Profiles'!B:B,"0")</f>
        <v>43.3184768539152</v>
      </c>
      <c r="J16">
        <f>_xlfn.XLOOKUP(H16,'Place Profiles'!A:A,'Place Profiles'!C:C,"0")</f>
        <v>11.3310792700061</v>
      </c>
    </row>
    <row r="17" spans="1:10" x14ac:dyDescent="0.45">
      <c r="A17" t="str">
        <v>ID_00016</v>
      </c>
      <c r="B17" t="str">
        <v>1612/06/19</v>
      </c>
      <c r="C17" t="str">
        <v>Firenze/Fiorenza</v>
      </c>
      <c r="D17" s="10">
        <f>_xlfn.XLOOKUP(C17,'Place Profiles'!A:A,'Place Profiles'!B:B,"0")</f>
        <v>43.773821664204803</v>
      </c>
      <c r="E17" s="10">
        <f>_xlfn.XLOOKUP(C17,'Place Profiles'!A:A,'Place Profiles'!C:C,"0")</f>
        <v>11.2555362617661</v>
      </c>
      <c r="F17" t="str">
        <v>von Habsburg, Maria Magdalena</v>
      </c>
      <c r="G17" t="str">
        <v>d'Elci, Orso</v>
      </c>
      <c r="H17" t="str" cm="1">
        <f t="array" ref="H17">_xlfn.LET(
_xlpm.t,$G17,
_xlpm.cands,_xlfn._xlws.FILTER('Place Profiles'!$G$2:$G$929,'Place Profiles'!$G$2:$G$929&lt;&gt;""),
_xlpm.counts,COUNTIFS('Raw Data'!$G$2:$G$501,_xlpm.t,'Raw Data'!$F$2:$F$501,_xlpm.cands),
_xlpm.mx,MAX(_xlpm.counts),
IF(_xlpm.mx=0,0,_xlfn.TEXTJOIN(" / ",TRUE,_xlfn._xlws.FILTER(_xlpm.cands,_xlpm.counts=_xlpm.mx)))
)</f>
        <v>Siena</v>
      </c>
      <c r="I17">
        <f>_xlfn.XLOOKUP(H17,'Place Profiles'!A:A,'Place Profiles'!B:B,"0")</f>
        <v>43.3184768539152</v>
      </c>
      <c r="J17">
        <f>_xlfn.XLOOKUP(H17,'Place Profiles'!A:A,'Place Profiles'!C:C,"0")</f>
        <v>11.3310792700061</v>
      </c>
    </row>
    <row r="18" spans="1:10" x14ac:dyDescent="0.45">
      <c r="A18" t="str">
        <v>ID_00017</v>
      </c>
      <c r="B18" t="str">
        <v>1612/07/10</v>
      </c>
      <c r="C18" t="str">
        <v>Firenze/Fiorenza</v>
      </c>
      <c r="D18" s="10">
        <f>_xlfn.XLOOKUP(C18,'Place Profiles'!A:A,'Place Profiles'!B:B,"0")</f>
        <v>43.773821664204803</v>
      </c>
      <c r="E18" s="10">
        <f>_xlfn.XLOOKUP(C18,'Place Profiles'!A:A,'Place Profiles'!C:C,"0")</f>
        <v>11.2555362617661</v>
      </c>
      <c r="F18" t="str">
        <v>von Habsburg, Maria Magdalena</v>
      </c>
      <c r="G18" t="str">
        <v>d'Elci, Orso</v>
      </c>
      <c r="H18" t="str" cm="1">
        <f t="array" ref="H18">_xlfn.LET(
_xlpm.t,$G18,
_xlpm.cands,_xlfn._xlws.FILTER('Place Profiles'!$G$2:$G$929,'Place Profiles'!$G$2:$G$929&lt;&gt;""),
_xlpm.counts,COUNTIFS('Raw Data'!$G$2:$G$501,_xlpm.t,'Raw Data'!$F$2:$F$501,_xlpm.cands),
_xlpm.mx,MAX(_xlpm.counts),
IF(_xlpm.mx=0,0,_xlfn.TEXTJOIN(" / ",TRUE,_xlfn._xlws.FILTER(_xlpm.cands,_xlpm.counts=_xlpm.mx)))
)</f>
        <v>Siena</v>
      </c>
      <c r="I18">
        <f>_xlfn.XLOOKUP(H18,'Place Profiles'!A:A,'Place Profiles'!B:B,"0")</f>
        <v>43.3184768539152</v>
      </c>
      <c r="J18">
        <f>_xlfn.XLOOKUP(H18,'Place Profiles'!A:A,'Place Profiles'!C:C,"0")</f>
        <v>11.3310792700061</v>
      </c>
    </row>
    <row r="19" spans="1:10" x14ac:dyDescent="0.45">
      <c r="A19" t="str">
        <v>ID_00018</v>
      </c>
      <c r="B19" t="str">
        <v>1612/07/28</v>
      </c>
      <c r="C19" t="str">
        <v>Firenze/Fiorenza</v>
      </c>
      <c r="D19" s="10">
        <f>_xlfn.XLOOKUP(C19,'Place Profiles'!A:A,'Place Profiles'!B:B,"0")</f>
        <v>43.773821664204803</v>
      </c>
      <c r="E19" s="10">
        <f>_xlfn.XLOOKUP(C19,'Place Profiles'!A:A,'Place Profiles'!C:C,"0")</f>
        <v>11.2555362617661</v>
      </c>
      <c r="F19" t="str">
        <v>von Habsburg, Maria Magdalena</v>
      </c>
      <c r="G19" t="str">
        <v>d'Elci, Orso</v>
      </c>
      <c r="H19" t="str" cm="1">
        <f t="array" ref="H19">_xlfn.LET(
_xlpm.t,$G19,
_xlpm.cands,_xlfn._xlws.FILTER('Place Profiles'!$G$2:$G$929,'Place Profiles'!$G$2:$G$929&lt;&gt;""),
_xlpm.counts,COUNTIFS('Raw Data'!$G$2:$G$501,_xlpm.t,'Raw Data'!$F$2:$F$501,_xlpm.cands),
_xlpm.mx,MAX(_xlpm.counts),
IF(_xlpm.mx=0,0,_xlfn.TEXTJOIN(" / ",TRUE,_xlfn._xlws.FILTER(_xlpm.cands,_xlpm.counts=_xlpm.mx)))
)</f>
        <v>Siena</v>
      </c>
      <c r="I19">
        <f>_xlfn.XLOOKUP(H19,'Place Profiles'!A:A,'Place Profiles'!B:B,"0")</f>
        <v>43.3184768539152</v>
      </c>
      <c r="J19">
        <f>_xlfn.XLOOKUP(H19,'Place Profiles'!A:A,'Place Profiles'!C:C,"0")</f>
        <v>11.3310792700061</v>
      </c>
    </row>
    <row r="20" spans="1:10" x14ac:dyDescent="0.45">
      <c r="A20" t="str">
        <v>ID_00019</v>
      </c>
      <c r="B20" t="str">
        <v>1612/08/07</v>
      </c>
      <c r="C20" t="str">
        <v>Firenze/Fiorenza</v>
      </c>
      <c r="D20" s="10">
        <f>_xlfn.XLOOKUP(C20,'Place Profiles'!A:A,'Place Profiles'!B:B,"0")</f>
        <v>43.773821664204803</v>
      </c>
      <c r="E20" s="10">
        <f>_xlfn.XLOOKUP(C20,'Place Profiles'!A:A,'Place Profiles'!C:C,"0")</f>
        <v>11.2555362617661</v>
      </c>
      <c r="F20" t="str">
        <v>von Habsburg, Maria Magdalena</v>
      </c>
      <c r="G20" t="str">
        <v>d'Elci, Orso</v>
      </c>
      <c r="H20" t="str" cm="1">
        <f t="array" ref="H20">_xlfn.LET(
_xlpm.t,$G20,
_xlpm.cands,_xlfn._xlws.FILTER('Place Profiles'!$G$2:$G$929,'Place Profiles'!$G$2:$G$929&lt;&gt;""),
_xlpm.counts,COUNTIFS('Raw Data'!$G$2:$G$501,_xlpm.t,'Raw Data'!$F$2:$F$501,_xlpm.cands),
_xlpm.mx,MAX(_xlpm.counts),
IF(_xlpm.mx=0,0,_xlfn.TEXTJOIN(" / ",TRUE,_xlfn._xlws.FILTER(_xlpm.cands,_xlpm.counts=_xlpm.mx)))
)</f>
        <v>Siena</v>
      </c>
      <c r="I20">
        <f>_xlfn.XLOOKUP(H20,'Place Profiles'!A:A,'Place Profiles'!B:B,"0")</f>
        <v>43.3184768539152</v>
      </c>
      <c r="J20">
        <f>_xlfn.XLOOKUP(H20,'Place Profiles'!A:A,'Place Profiles'!C:C,"0")</f>
        <v>11.3310792700061</v>
      </c>
    </row>
    <row r="21" spans="1:10" x14ac:dyDescent="0.45">
      <c r="A21" t="str">
        <v>ID_00020</v>
      </c>
      <c r="B21" t="str">
        <v>1613/04/13</v>
      </c>
      <c r="C21" t="str">
        <v>Firenze/Fiorenza</v>
      </c>
      <c r="D21" s="10">
        <f>_xlfn.XLOOKUP(C21,'Place Profiles'!A:A,'Place Profiles'!B:B,"0")</f>
        <v>43.773821664204803</v>
      </c>
      <c r="E21" s="10">
        <f>_xlfn.XLOOKUP(C21,'Place Profiles'!A:A,'Place Profiles'!C:C,"0")</f>
        <v>11.2555362617661</v>
      </c>
      <c r="F21" t="str">
        <v>von Habsburg, Maria Magdalena</v>
      </c>
      <c r="G21" t="str">
        <v>d'Elci, Orso</v>
      </c>
      <c r="H21" t="str" cm="1">
        <f t="array" ref="H21">_xlfn.LET(
_xlpm.t,$G21,
_xlpm.cands,_xlfn._xlws.FILTER('Place Profiles'!$G$2:$G$929,'Place Profiles'!$G$2:$G$929&lt;&gt;""),
_xlpm.counts,COUNTIFS('Raw Data'!$G$2:$G$501,_xlpm.t,'Raw Data'!$F$2:$F$501,_xlpm.cands),
_xlpm.mx,MAX(_xlpm.counts),
IF(_xlpm.mx=0,0,_xlfn.TEXTJOIN(" / ",TRUE,_xlfn._xlws.FILTER(_xlpm.cands,_xlpm.counts=_xlpm.mx)))
)</f>
        <v>Siena</v>
      </c>
      <c r="I21">
        <f>_xlfn.XLOOKUP(H21,'Place Profiles'!A:A,'Place Profiles'!B:B,"0")</f>
        <v>43.3184768539152</v>
      </c>
      <c r="J21">
        <f>_xlfn.XLOOKUP(H21,'Place Profiles'!A:A,'Place Profiles'!C:C,"0")</f>
        <v>11.3310792700061</v>
      </c>
    </row>
    <row r="22" spans="1:10" x14ac:dyDescent="0.45">
      <c r="A22" t="str">
        <v>ID_00021</v>
      </c>
      <c r="B22" t="str">
        <v>1613/08/16</v>
      </c>
      <c r="C22" t="str">
        <v>Firenze/Fiorenza</v>
      </c>
      <c r="D22" s="10">
        <f>_xlfn.XLOOKUP(C22,'Place Profiles'!A:A,'Place Profiles'!B:B,"0")</f>
        <v>43.773821664204803</v>
      </c>
      <c r="E22" s="10">
        <f>_xlfn.XLOOKUP(C22,'Place Profiles'!A:A,'Place Profiles'!C:C,"0")</f>
        <v>11.2555362617661</v>
      </c>
      <c r="F22" t="str">
        <v>von Habsburg, Maria Magdalena</v>
      </c>
      <c r="G22" t="str">
        <v>d'Elci, Orso</v>
      </c>
      <c r="H22" t="str" cm="1">
        <f t="array" ref="H22">_xlfn.LET(
_xlpm.t,$G22,
_xlpm.cands,_xlfn._xlws.FILTER('Place Profiles'!$G$2:$G$929,'Place Profiles'!$G$2:$G$929&lt;&gt;""),
_xlpm.counts,COUNTIFS('Raw Data'!$G$2:$G$501,_xlpm.t,'Raw Data'!$F$2:$F$501,_xlpm.cands),
_xlpm.mx,MAX(_xlpm.counts),
IF(_xlpm.mx=0,0,_xlfn.TEXTJOIN(" / ",TRUE,_xlfn._xlws.FILTER(_xlpm.cands,_xlpm.counts=_xlpm.mx)))
)</f>
        <v>Siena</v>
      </c>
      <c r="I22">
        <f>_xlfn.XLOOKUP(H22,'Place Profiles'!A:A,'Place Profiles'!B:B,"0")</f>
        <v>43.3184768539152</v>
      </c>
      <c r="J22">
        <f>_xlfn.XLOOKUP(H22,'Place Profiles'!A:A,'Place Profiles'!C:C,"0")</f>
        <v>11.3310792700061</v>
      </c>
    </row>
    <row r="23" spans="1:10" x14ac:dyDescent="0.45">
      <c r="A23" t="str">
        <v>ID_00022</v>
      </c>
      <c r="B23" t="str">
        <v>1613/10/03</v>
      </c>
      <c r="C23" t="str">
        <v>Firenze/Fiorenza</v>
      </c>
      <c r="D23" s="10">
        <f>_xlfn.XLOOKUP(C23,'Place Profiles'!A:A,'Place Profiles'!B:B,"0")</f>
        <v>43.773821664204803</v>
      </c>
      <c r="E23" s="10">
        <f>_xlfn.XLOOKUP(C23,'Place Profiles'!A:A,'Place Profiles'!C:C,"0")</f>
        <v>11.2555362617661</v>
      </c>
      <c r="F23" t="str">
        <v>von Habsburg, Maria Magdalena</v>
      </c>
      <c r="G23" t="str">
        <v>d'Elci, Orso</v>
      </c>
      <c r="H23" t="str" cm="1">
        <f t="array" ref="H23">_xlfn.LET(
_xlpm.t,$G23,
_xlpm.cands,_xlfn._xlws.FILTER('Place Profiles'!$G$2:$G$929,'Place Profiles'!$G$2:$G$929&lt;&gt;""),
_xlpm.counts,COUNTIFS('Raw Data'!$G$2:$G$501,_xlpm.t,'Raw Data'!$F$2:$F$501,_xlpm.cands),
_xlpm.mx,MAX(_xlpm.counts),
IF(_xlpm.mx=0,0,_xlfn.TEXTJOIN(" / ",TRUE,_xlfn._xlws.FILTER(_xlpm.cands,_xlpm.counts=_xlpm.mx)))
)</f>
        <v>Siena</v>
      </c>
      <c r="I23">
        <f>_xlfn.XLOOKUP(H23,'Place Profiles'!A:A,'Place Profiles'!B:B,"0")</f>
        <v>43.3184768539152</v>
      </c>
      <c r="J23">
        <f>_xlfn.XLOOKUP(H23,'Place Profiles'!A:A,'Place Profiles'!C:C,"0")</f>
        <v>11.3310792700061</v>
      </c>
    </row>
    <row r="24" spans="1:10" x14ac:dyDescent="0.45">
      <c r="A24" t="str">
        <v>ID_00023</v>
      </c>
      <c r="B24" t="str">
        <v>1613/11/15</v>
      </c>
      <c r="C24" t="str">
        <v>Firenze/Fiorenza</v>
      </c>
      <c r="D24" s="10">
        <f>_xlfn.XLOOKUP(C24,'Place Profiles'!A:A,'Place Profiles'!B:B,"0")</f>
        <v>43.773821664204803</v>
      </c>
      <c r="E24" s="10">
        <f>_xlfn.XLOOKUP(C24,'Place Profiles'!A:A,'Place Profiles'!C:C,"0")</f>
        <v>11.2555362617661</v>
      </c>
      <c r="F24" t="str">
        <v>von Habsburg, Maria Magdalena</v>
      </c>
      <c r="G24" t="str">
        <v>d'Elci, Orso</v>
      </c>
      <c r="H24" t="str" cm="1">
        <f t="array" ref="H24">_xlfn.LET(
_xlpm.t,$G24,
_xlpm.cands,_xlfn._xlws.FILTER('Place Profiles'!$G$2:$G$929,'Place Profiles'!$G$2:$G$929&lt;&gt;""),
_xlpm.counts,COUNTIFS('Raw Data'!$G$2:$G$501,_xlpm.t,'Raw Data'!$F$2:$F$501,_xlpm.cands),
_xlpm.mx,MAX(_xlpm.counts),
IF(_xlpm.mx=0,0,_xlfn.TEXTJOIN(" / ",TRUE,_xlfn._xlws.FILTER(_xlpm.cands,_xlpm.counts=_xlpm.mx)))
)</f>
        <v>Siena</v>
      </c>
      <c r="I24">
        <f>_xlfn.XLOOKUP(H24,'Place Profiles'!A:A,'Place Profiles'!B:B,"0")</f>
        <v>43.3184768539152</v>
      </c>
      <c r="J24">
        <f>_xlfn.XLOOKUP(H24,'Place Profiles'!A:A,'Place Profiles'!C:C,"0")</f>
        <v>11.3310792700061</v>
      </c>
    </row>
    <row r="25" spans="1:10" x14ac:dyDescent="0.45">
      <c r="A25" t="str">
        <v>ID_00024</v>
      </c>
      <c r="B25" t="str">
        <v>1614/02/06</v>
      </c>
      <c r="C25" t="str">
        <v>Firenze/Fiorenza</v>
      </c>
      <c r="D25" s="10">
        <f>_xlfn.XLOOKUP(C25,'Place Profiles'!A:A,'Place Profiles'!B:B,"0")</f>
        <v>43.773821664204803</v>
      </c>
      <c r="E25" s="10">
        <f>_xlfn.XLOOKUP(C25,'Place Profiles'!A:A,'Place Profiles'!C:C,"0")</f>
        <v>11.2555362617661</v>
      </c>
      <c r="F25" t="str">
        <v>von Habsburg, Maria Magdalena</v>
      </c>
      <c r="G25" t="str">
        <v>d'Elci, Orso</v>
      </c>
      <c r="H25" t="str" cm="1">
        <f t="array" ref="H25">_xlfn.LET(
_xlpm.t,$G25,
_xlpm.cands,_xlfn._xlws.FILTER('Place Profiles'!$G$2:$G$929,'Place Profiles'!$G$2:$G$929&lt;&gt;""),
_xlpm.counts,COUNTIFS('Raw Data'!$G$2:$G$501,_xlpm.t,'Raw Data'!$F$2:$F$501,_xlpm.cands),
_xlpm.mx,MAX(_xlpm.counts),
IF(_xlpm.mx=0,0,_xlfn.TEXTJOIN(" / ",TRUE,_xlfn._xlws.FILTER(_xlpm.cands,_xlpm.counts=_xlpm.mx)))
)</f>
        <v>Siena</v>
      </c>
      <c r="I25">
        <f>_xlfn.XLOOKUP(H25,'Place Profiles'!A:A,'Place Profiles'!B:B,"0")</f>
        <v>43.3184768539152</v>
      </c>
      <c r="J25">
        <f>_xlfn.XLOOKUP(H25,'Place Profiles'!A:A,'Place Profiles'!C:C,"0")</f>
        <v>11.3310792700061</v>
      </c>
    </row>
    <row r="26" spans="1:10" x14ac:dyDescent="0.45">
      <c r="A26" t="str">
        <v>ID_00025</v>
      </c>
      <c r="B26" t="str">
        <v>1616/04/15</v>
      </c>
      <c r="C26" t="str">
        <v>Firenze/Fiorenza</v>
      </c>
      <c r="D26" s="10">
        <f>_xlfn.XLOOKUP(C26,'Place Profiles'!A:A,'Place Profiles'!B:B,"0")</f>
        <v>43.773821664204803</v>
      </c>
      <c r="E26" s="10">
        <f>_xlfn.XLOOKUP(C26,'Place Profiles'!A:A,'Place Profiles'!C:C,"0")</f>
        <v>11.2555362617661</v>
      </c>
      <c r="F26" t="str">
        <v>von Habsburg, Maria Magdalena</v>
      </c>
      <c r="G26" t="str">
        <v>d'Elci, Orso</v>
      </c>
      <c r="H26" t="str" cm="1">
        <f t="array" ref="H26">_xlfn.LET(
_xlpm.t,$G26,
_xlpm.cands,_xlfn._xlws.FILTER('Place Profiles'!$G$2:$G$929,'Place Profiles'!$G$2:$G$929&lt;&gt;""),
_xlpm.counts,COUNTIFS('Raw Data'!$G$2:$G$501,_xlpm.t,'Raw Data'!$F$2:$F$501,_xlpm.cands),
_xlpm.mx,MAX(_xlpm.counts),
IF(_xlpm.mx=0,0,_xlfn.TEXTJOIN(" / ",TRUE,_xlfn._xlws.FILTER(_xlpm.cands,_xlpm.counts=_xlpm.mx)))
)</f>
        <v>Siena</v>
      </c>
      <c r="I26">
        <f>_xlfn.XLOOKUP(H26,'Place Profiles'!A:A,'Place Profiles'!B:B,"0")</f>
        <v>43.3184768539152</v>
      </c>
      <c r="J26">
        <f>_xlfn.XLOOKUP(H26,'Place Profiles'!A:A,'Place Profiles'!C:C,"0")</f>
        <v>11.3310792700061</v>
      </c>
    </row>
    <row r="27" spans="1:10" x14ac:dyDescent="0.45">
      <c r="A27" t="str">
        <v>ID_00026</v>
      </c>
      <c r="B27" t="str">
        <v>1616/04/20</v>
      </c>
      <c r="C27" t="str">
        <v>Firenze/Fiorenza</v>
      </c>
      <c r="D27" s="10">
        <f>_xlfn.XLOOKUP(C27,'Place Profiles'!A:A,'Place Profiles'!B:B,"0")</f>
        <v>43.773821664204803</v>
      </c>
      <c r="E27" s="10">
        <f>_xlfn.XLOOKUP(C27,'Place Profiles'!A:A,'Place Profiles'!C:C,"0")</f>
        <v>11.2555362617661</v>
      </c>
      <c r="F27" t="str">
        <v>von Habsburg, Maria Magdalena</v>
      </c>
      <c r="G27" t="str">
        <v>d'Elci, Orso</v>
      </c>
      <c r="H27" t="str" cm="1">
        <f t="array" ref="H27">_xlfn.LET(
_xlpm.t,$G27,
_xlpm.cands,_xlfn._xlws.FILTER('Place Profiles'!$G$2:$G$929,'Place Profiles'!$G$2:$G$929&lt;&gt;""),
_xlpm.counts,COUNTIFS('Raw Data'!$G$2:$G$501,_xlpm.t,'Raw Data'!$F$2:$F$501,_xlpm.cands),
_xlpm.mx,MAX(_xlpm.counts),
IF(_xlpm.mx=0,0,_xlfn.TEXTJOIN(" / ",TRUE,_xlfn._xlws.FILTER(_xlpm.cands,_xlpm.counts=_xlpm.mx)))
)</f>
        <v>Siena</v>
      </c>
      <c r="I27">
        <f>_xlfn.XLOOKUP(H27,'Place Profiles'!A:A,'Place Profiles'!B:B,"0")</f>
        <v>43.3184768539152</v>
      </c>
      <c r="J27">
        <f>_xlfn.XLOOKUP(H27,'Place Profiles'!A:A,'Place Profiles'!C:C,"0")</f>
        <v>11.3310792700061</v>
      </c>
    </row>
    <row r="28" spans="1:10" x14ac:dyDescent="0.45">
      <c r="A28" t="str">
        <v>ID_00027</v>
      </c>
      <c r="B28" t="str">
        <v>1616/02/08</v>
      </c>
      <c r="C28" t="str">
        <v>Firenze/Fiorenza</v>
      </c>
      <c r="D28" s="10">
        <f>_xlfn.XLOOKUP(C28,'Place Profiles'!A:A,'Place Profiles'!B:B,"0")</f>
        <v>43.773821664204803</v>
      </c>
      <c r="E28" s="10">
        <f>_xlfn.XLOOKUP(C28,'Place Profiles'!A:A,'Place Profiles'!C:C,"0")</f>
        <v>11.2555362617661</v>
      </c>
      <c r="F28" t="str">
        <v>von Habsburg, Maria Magdalena</v>
      </c>
      <c r="G28" t="str">
        <v>d'Elci, Orso</v>
      </c>
      <c r="H28" t="str" cm="1">
        <f t="array" ref="H28">_xlfn.LET(
_xlpm.t,$G28,
_xlpm.cands,_xlfn._xlws.FILTER('Place Profiles'!$G$2:$G$929,'Place Profiles'!$G$2:$G$929&lt;&gt;""),
_xlpm.counts,COUNTIFS('Raw Data'!$G$2:$G$501,_xlpm.t,'Raw Data'!$F$2:$F$501,_xlpm.cands),
_xlpm.mx,MAX(_xlpm.counts),
IF(_xlpm.mx=0,0,_xlfn.TEXTJOIN(" / ",TRUE,_xlfn._xlws.FILTER(_xlpm.cands,_xlpm.counts=_xlpm.mx)))
)</f>
        <v>Siena</v>
      </c>
      <c r="I28">
        <f>_xlfn.XLOOKUP(H28,'Place Profiles'!A:A,'Place Profiles'!B:B,"0")</f>
        <v>43.3184768539152</v>
      </c>
      <c r="J28">
        <f>_xlfn.XLOOKUP(H28,'Place Profiles'!A:A,'Place Profiles'!C:C,"0")</f>
        <v>11.3310792700061</v>
      </c>
    </row>
    <row r="29" spans="1:10" x14ac:dyDescent="0.45">
      <c r="A29" t="str">
        <v>ID_00028</v>
      </c>
      <c r="B29" t="str">
        <v>1618/03/15</v>
      </c>
      <c r="C29" t="str">
        <v>Pisa</v>
      </c>
      <c r="D29" s="10">
        <f>_xlfn.XLOOKUP(C29,'Place Profiles'!A:A,'Place Profiles'!B:B,"0")</f>
        <v>43.722514463828503</v>
      </c>
      <c r="E29" s="10">
        <f>_xlfn.XLOOKUP(C29,'Place Profiles'!A:A,'Place Profiles'!C:C,"0")</f>
        <v>10.3960522879613</v>
      </c>
      <c r="F29" t="str">
        <v>von Habsburg, Maria Magdalena</v>
      </c>
      <c r="G29" t="str">
        <v>d'Elci, Orso</v>
      </c>
      <c r="H29" t="str" cm="1">
        <f t="array" ref="H29">_xlfn.LET(
_xlpm.t,$G29,
_xlpm.cands,_xlfn._xlws.FILTER('Place Profiles'!$G$2:$G$929,'Place Profiles'!$G$2:$G$929&lt;&gt;""),
_xlpm.counts,COUNTIFS('Raw Data'!$G$2:$G$501,_xlpm.t,'Raw Data'!$F$2:$F$501,_xlpm.cands),
_xlpm.mx,MAX(_xlpm.counts),
IF(_xlpm.mx=0,0,_xlfn.TEXTJOIN(" / ",TRUE,_xlfn._xlws.FILTER(_xlpm.cands,_xlpm.counts=_xlpm.mx)))
)</f>
        <v>Siena</v>
      </c>
      <c r="I29">
        <f>_xlfn.XLOOKUP(H29,'Place Profiles'!A:A,'Place Profiles'!B:B,"0")</f>
        <v>43.3184768539152</v>
      </c>
      <c r="J29">
        <f>_xlfn.XLOOKUP(H29,'Place Profiles'!A:A,'Place Profiles'!C:C,"0")</f>
        <v>11.3310792700061</v>
      </c>
    </row>
    <row r="30" spans="1:10" x14ac:dyDescent="0.45">
      <c r="A30" t="str">
        <v>ID_00029</v>
      </c>
      <c r="B30" t="str">
        <v>1618/03/26</v>
      </c>
      <c r="C30" t="str">
        <v>Firenze/Fiorenza</v>
      </c>
      <c r="D30" s="10">
        <f>_xlfn.XLOOKUP(C30,'Place Profiles'!A:A,'Place Profiles'!B:B,"0")</f>
        <v>43.773821664204803</v>
      </c>
      <c r="E30" s="10">
        <f>_xlfn.XLOOKUP(C30,'Place Profiles'!A:A,'Place Profiles'!C:C,"0")</f>
        <v>11.2555362617661</v>
      </c>
      <c r="F30" t="str">
        <v>von Habsburg, Maria Magdalena</v>
      </c>
      <c r="G30" t="str">
        <v>d'Elci, Orso</v>
      </c>
      <c r="H30" t="str" cm="1">
        <f t="array" ref="H30">_xlfn.LET(
_xlpm.t,$G30,
_xlpm.cands,_xlfn._xlws.FILTER('Place Profiles'!$G$2:$G$929,'Place Profiles'!$G$2:$G$929&lt;&gt;""),
_xlpm.counts,COUNTIFS('Raw Data'!$G$2:$G$501,_xlpm.t,'Raw Data'!$F$2:$F$501,_xlpm.cands),
_xlpm.mx,MAX(_xlpm.counts),
IF(_xlpm.mx=0,0,_xlfn.TEXTJOIN(" / ",TRUE,_xlfn._xlws.FILTER(_xlpm.cands,_xlpm.counts=_xlpm.mx)))
)</f>
        <v>Siena</v>
      </c>
      <c r="I30">
        <f>_xlfn.XLOOKUP(H30,'Place Profiles'!A:A,'Place Profiles'!B:B,"0")</f>
        <v>43.3184768539152</v>
      </c>
      <c r="J30">
        <f>_xlfn.XLOOKUP(H30,'Place Profiles'!A:A,'Place Profiles'!C:C,"0")</f>
        <v>11.3310792700061</v>
      </c>
    </row>
    <row r="31" spans="1:10" x14ac:dyDescent="0.45">
      <c r="A31" t="str">
        <v>ID_00030</v>
      </c>
      <c r="B31" t="str">
        <v>1616/00/00</v>
      </c>
      <c r="C31" t="str">
        <v>Firenze/Fiorenza</v>
      </c>
      <c r="D31" s="10">
        <f>_xlfn.XLOOKUP(C31,'Place Profiles'!A:A,'Place Profiles'!B:B,"0")</f>
        <v>43.773821664204803</v>
      </c>
      <c r="E31" s="10">
        <f>_xlfn.XLOOKUP(C31,'Place Profiles'!A:A,'Place Profiles'!C:C,"0")</f>
        <v>11.2555362617661</v>
      </c>
      <c r="F31" t="str">
        <v>von Habsburg, Maria Magdalena</v>
      </c>
      <c r="G31" t="str">
        <v>d'Elci, Orso</v>
      </c>
      <c r="H31" t="str" cm="1">
        <f t="array" ref="H31">_xlfn.LET(
_xlpm.t,$G31,
_xlpm.cands,_xlfn._xlws.FILTER('Place Profiles'!$G$2:$G$929,'Place Profiles'!$G$2:$G$929&lt;&gt;""),
_xlpm.counts,COUNTIFS('Raw Data'!$G$2:$G$501,_xlpm.t,'Raw Data'!$F$2:$F$501,_xlpm.cands),
_xlpm.mx,MAX(_xlpm.counts),
IF(_xlpm.mx=0,0,_xlfn.TEXTJOIN(" / ",TRUE,_xlfn._xlws.FILTER(_xlpm.cands,_xlpm.counts=_xlpm.mx)))
)</f>
        <v>Siena</v>
      </c>
      <c r="I31">
        <f>_xlfn.XLOOKUP(H31,'Place Profiles'!A:A,'Place Profiles'!B:B,"0")</f>
        <v>43.3184768539152</v>
      </c>
      <c r="J31">
        <f>_xlfn.XLOOKUP(H31,'Place Profiles'!A:A,'Place Profiles'!C:C,"0")</f>
        <v>11.3310792700061</v>
      </c>
    </row>
    <row r="32" spans="1:10" x14ac:dyDescent="0.45">
      <c r="A32" t="str">
        <v>ID_00031</v>
      </c>
      <c r="B32" t="str">
        <v>1623/07/08</v>
      </c>
      <c r="C32" t="str">
        <v>Firenze/Fiorenza</v>
      </c>
      <c r="D32" s="10">
        <f>_xlfn.XLOOKUP(C32,'Place Profiles'!A:A,'Place Profiles'!B:B,"0")</f>
        <v>43.773821664204803</v>
      </c>
      <c r="E32" s="10">
        <f>_xlfn.XLOOKUP(C32,'Place Profiles'!A:A,'Place Profiles'!C:C,"0")</f>
        <v>11.2555362617661</v>
      </c>
      <c r="F32" t="str">
        <v>von Habsburg, Maria Magdalena</v>
      </c>
      <c r="G32" t="str">
        <v>d'Elci, Orso</v>
      </c>
      <c r="H32" t="str" cm="1">
        <f t="array" ref="H32">_xlfn.LET(
_xlpm.t,$G32,
_xlpm.cands,_xlfn._xlws.FILTER('Place Profiles'!$G$2:$G$929,'Place Profiles'!$G$2:$G$929&lt;&gt;""),
_xlpm.counts,COUNTIFS('Raw Data'!$G$2:$G$501,_xlpm.t,'Raw Data'!$F$2:$F$501,_xlpm.cands),
_xlpm.mx,MAX(_xlpm.counts),
IF(_xlpm.mx=0,0,_xlfn.TEXTJOIN(" / ",TRUE,_xlfn._xlws.FILTER(_xlpm.cands,_xlpm.counts=_xlpm.mx)))
)</f>
        <v>Siena</v>
      </c>
      <c r="I32">
        <f>_xlfn.XLOOKUP(H32,'Place Profiles'!A:A,'Place Profiles'!B:B,"0")</f>
        <v>43.3184768539152</v>
      </c>
      <c r="J32">
        <f>_xlfn.XLOOKUP(H32,'Place Profiles'!A:A,'Place Profiles'!C:C,"0")</f>
        <v>11.3310792700061</v>
      </c>
    </row>
    <row r="33" spans="1:10" x14ac:dyDescent="0.45">
      <c r="A33" t="str">
        <v>ID_00032</v>
      </c>
      <c r="B33" t="str">
        <v>1623/00/05</v>
      </c>
      <c r="C33" t="str">
        <v>Firenze/Fiorenza</v>
      </c>
      <c r="D33" s="10">
        <f>_xlfn.XLOOKUP(C33,'Place Profiles'!A:A,'Place Profiles'!B:B,"0")</f>
        <v>43.773821664204803</v>
      </c>
      <c r="E33" s="10">
        <f>_xlfn.XLOOKUP(C33,'Place Profiles'!A:A,'Place Profiles'!C:C,"0")</f>
        <v>11.2555362617661</v>
      </c>
      <c r="F33" t="str">
        <v>von Habsburg, Maria Magdalena</v>
      </c>
      <c r="G33" t="str">
        <v>d'Elci, Orso</v>
      </c>
      <c r="H33" t="str" cm="1">
        <f t="array" ref="H33">_xlfn.LET(
_xlpm.t,$G33,
_xlpm.cands,_xlfn._xlws.FILTER('Place Profiles'!$G$2:$G$929,'Place Profiles'!$G$2:$G$929&lt;&gt;""),
_xlpm.counts,COUNTIFS('Raw Data'!$G$2:$G$501,_xlpm.t,'Raw Data'!$F$2:$F$501,_xlpm.cands),
_xlpm.mx,MAX(_xlpm.counts),
IF(_xlpm.mx=0,0,_xlfn.TEXTJOIN(" / ",TRUE,_xlfn._xlws.FILTER(_xlpm.cands,_xlpm.counts=_xlpm.mx)))
)</f>
        <v>Siena</v>
      </c>
      <c r="I33">
        <f>_xlfn.XLOOKUP(H33,'Place Profiles'!A:A,'Place Profiles'!B:B,"0")</f>
        <v>43.3184768539152</v>
      </c>
      <c r="J33">
        <f>_xlfn.XLOOKUP(H33,'Place Profiles'!A:A,'Place Profiles'!C:C,"0")</f>
        <v>11.3310792700061</v>
      </c>
    </row>
    <row r="34" spans="1:10" x14ac:dyDescent="0.45">
      <c r="A34" t="str">
        <v>ID_00033</v>
      </c>
      <c r="B34" t="str">
        <v>1623/06/06</v>
      </c>
      <c r="C34" t="str">
        <v>Firenze/Fiorenza</v>
      </c>
      <c r="D34" s="10">
        <f>_xlfn.XLOOKUP(C34,'Place Profiles'!A:A,'Place Profiles'!B:B,"0")</f>
        <v>43.773821664204803</v>
      </c>
      <c r="E34" s="10">
        <f>_xlfn.XLOOKUP(C34,'Place Profiles'!A:A,'Place Profiles'!C:C,"0")</f>
        <v>11.2555362617661</v>
      </c>
      <c r="F34" t="str">
        <v>von Habsburg, Maria Magdalena</v>
      </c>
      <c r="G34" t="str">
        <v>d'Elci, Orso</v>
      </c>
      <c r="H34" t="str" cm="1">
        <f t="array" ref="H34">_xlfn.LET(
_xlpm.t,$G34,
_xlpm.cands,_xlfn._xlws.FILTER('Place Profiles'!$G$2:$G$929,'Place Profiles'!$G$2:$G$929&lt;&gt;""),
_xlpm.counts,COUNTIFS('Raw Data'!$G$2:$G$501,_xlpm.t,'Raw Data'!$F$2:$F$501,_xlpm.cands),
_xlpm.mx,MAX(_xlpm.counts),
IF(_xlpm.mx=0,0,_xlfn.TEXTJOIN(" / ",TRUE,_xlfn._xlws.FILTER(_xlpm.cands,_xlpm.counts=_xlpm.mx)))
)</f>
        <v>Siena</v>
      </c>
      <c r="I34">
        <f>_xlfn.XLOOKUP(H34,'Place Profiles'!A:A,'Place Profiles'!B:B,"0")</f>
        <v>43.3184768539152</v>
      </c>
      <c r="J34">
        <f>_xlfn.XLOOKUP(H34,'Place Profiles'!A:A,'Place Profiles'!C:C,"0")</f>
        <v>11.3310792700061</v>
      </c>
    </row>
    <row r="35" spans="1:10" x14ac:dyDescent="0.45">
      <c r="A35" t="str">
        <v>ID_00034</v>
      </c>
      <c r="B35" t="str">
        <v>1623/10/24</v>
      </c>
      <c r="C35" t="str">
        <v>Firenze/Fiorenza</v>
      </c>
      <c r="D35" s="10">
        <f>_xlfn.XLOOKUP(C35,'Place Profiles'!A:A,'Place Profiles'!B:B,"0")</f>
        <v>43.773821664204803</v>
      </c>
      <c r="E35" s="10">
        <f>_xlfn.XLOOKUP(C35,'Place Profiles'!A:A,'Place Profiles'!C:C,"0")</f>
        <v>11.2555362617661</v>
      </c>
      <c r="F35" t="str">
        <v>von Habsburg, Maria Magdalena</v>
      </c>
      <c r="G35" t="str">
        <v>d'Elci, Orso</v>
      </c>
      <c r="H35" t="str" cm="1">
        <f t="array" ref="H35">_xlfn.LET(
_xlpm.t,$G35,
_xlpm.cands,_xlfn._xlws.FILTER('Place Profiles'!$G$2:$G$929,'Place Profiles'!$G$2:$G$929&lt;&gt;""),
_xlpm.counts,COUNTIFS('Raw Data'!$G$2:$G$501,_xlpm.t,'Raw Data'!$F$2:$F$501,_xlpm.cands),
_xlpm.mx,MAX(_xlpm.counts),
IF(_xlpm.mx=0,0,_xlfn.TEXTJOIN(" / ",TRUE,_xlfn._xlws.FILTER(_xlpm.cands,_xlpm.counts=_xlpm.mx)))
)</f>
        <v>Siena</v>
      </c>
      <c r="I35">
        <f>_xlfn.XLOOKUP(H35,'Place Profiles'!A:A,'Place Profiles'!B:B,"0")</f>
        <v>43.3184768539152</v>
      </c>
      <c r="J35">
        <f>_xlfn.XLOOKUP(H35,'Place Profiles'!A:A,'Place Profiles'!C:C,"0")</f>
        <v>11.3310792700061</v>
      </c>
    </row>
    <row r="36" spans="1:10" x14ac:dyDescent="0.45">
      <c r="A36" t="str">
        <v>ID_00035</v>
      </c>
      <c r="B36" t="str">
        <v>1623/12/03</v>
      </c>
      <c r="C36" t="str">
        <v>Firenze/Fiorenza</v>
      </c>
      <c r="D36" s="10">
        <f>_xlfn.XLOOKUP(C36,'Place Profiles'!A:A,'Place Profiles'!B:B,"0")</f>
        <v>43.773821664204803</v>
      </c>
      <c r="E36" s="10">
        <f>_xlfn.XLOOKUP(C36,'Place Profiles'!A:A,'Place Profiles'!C:C,"0")</f>
        <v>11.2555362617661</v>
      </c>
      <c r="F36" t="str">
        <v>von Habsburg, Maria Magdalena</v>
      </c>
      <c r="G36" t="str">
        <v>d'Elci, Orso</v>
      </c>
      <c r="H36" t="str" cm="1">
        <f t="array" ref="H36">_xlfn.LET(
_xlpm.t,$G36,
_xlpm.cands,_xlfn._xlws.FILTER('Place Profiles'!$G$2:$G$929,'Place Profiles'!$G$2:$G$929&lt;&gt;""),
_xlpm.counts,COUNTIFS('Raw Data'!$G$2:$G$501,_xlpm.t,'Raw Data'!$F$2:$F$501,_xlpm.cands),
_xlpm.mx,MAX(_xlpm.counts),
IF(_xlpm.mx=0,0,_xlfn.TEXTJOIN(" / ",TRUE,_xlfn._xlws.FILTER(_xlpm.cands,_xlpm.counts=_xlpm.mx)))
)</f>
        <v>Siena</v>
      </c>
      <c r="I36">
        <f>_xlfn.XLOOKUP(H36,'Place Profiles'!A:A,'Place Profiles'!B:B,"0")</f>
        <v>43.3184768539152</v>
      </c>
      <c r="J36">
        <f>_xlfn.XLOOKUP(H36,'Place Profiles'!A:A,'Place Profiles'!C:C,"0")</f>
        <v>11.3310792700061</v>
      </c>
    </row>
    <row r="37" spans="1:10" x14ac:dyDescent="0.45">
      <c r="A37" t="str">
        <v>ID_00036</v>
      </c>
      <c r="B37" t="str">
        <v>0000/00/00</v>
      </c>
      <c r="C37" t="str">
        <v>Firenze/Fiorenza</v>
      </c>
      <c r="D37" s="10">
        <f>_xlfn.XLOOKUP(C37,'Place Profiles'!A:A,'Place Profiles'!B:B,"0")</f>
        <v>43.773821664204803</v>
      </c>
      <c r="E37" s="10">
        <f>_xlfn.XLOOKUP(C37,'Place Profiles'!A:A,'Place Profiles'!C:C,"0")</f>
        <v>11.2555362617661</v>
      </c>
      <c r="F37" t="str">
        <v>von Habsburg, Maria Magdalena</v>
      </c>
      <c r="G37" t="str">
        <v>d'Elci, Orso</v>
      </c>
      <c r="H37" t="str" cm="1">
        <f t="array" ref="H37">_xlfn.LET(
_xlpm.t,$G37,
_xlpm.cands,_xlfn._xlws.FILTER('Place Profiles'!$G$2:$G$929,'Place Profiles'!$G$2:$G$929&lt;&gt;""),
_xlpm.counts,COUNTIFS('Raw Data'!$G$2:$G$501,_xlpm.t,'Raw Data'!$F$2:$F$501,_xlpm.cands),
_xlpm.mx,MAX(_xlpm.counts),
IF(_xlpm.mx=0,0,_xlfn.TEXTJOIN(" / ",TRUE,_xlfn._xlws.FILTER(_xlpm.cands,_xlpm.counts=_xlpm.mx)))
)</f>
        <v>Siena</v>
      </c>
      <c r="I37">
        <f>_xlfn.XLOOKUP(H37,'Place Profiles'!A:A,'Place Profiles'!B:B,"0")</f>
        <v>43.3184768539152</v>
      </c>
      <c r="J37">
        <f>_xlfn.XLOOKUP(H37,'Place Profiles'!A:A,'Place Profiles'!C:C,"0")</f>
        <v>11.3310792700061</v>
      </c>
    </row>
    <row r="38" spans="1:10" x14ac:dyDescent="0.45">
      <c r="A38" t="str">
        <v>ID_00037</v>
      </c>
      <c r="B38" t="str">
        <v>1623/08/00</v>
      </c>
      <c r="C38" t="str">
        <v>Firenze/Fiorenza</v>
      </c>
      <c r="D38" s="10">
        <f>_xlfn.XLOOKUP(C38,'Place Profiles'!A:A,'Place Profiles'!B:B,"0")</f>
        <v>43.773821664204803</v>
      </c>
      <c r="E38" s="10">
        <f>_xlfn.XLOOKUP(C38,'Place Profiles'!A:A,'Place Profiles'!C:C,"0")</f>
        <v>11.2555362617661</v>
      </c>
      <c r="F38" t="str">
        <v>von Habsburg, Maria Magdalena</v>
      </c>
      <c r="G38" t="str">
        <v>d'Elci, Orso</v>
      </c>
      <c r="H38" t="str" cm="1">
        <f t="array" ref="H38">_xlfn.LET(
_xlpm.t,$G38,
_xlpm.cands,_xlfn._xlws.FILTER('Place Profiles'!$G$2:$G$929,'Place Profiles'!$G$2:$G$929&lt;&gt;""),
_xlpm.counts,COUNTIFS('Raw Data'!$G$2:$G$501,_xlpm.t,'Raw Data'!$F$2:$F$501,_xlpm.cands),
_xlpm.mx,MAX(_xlpm.counts),
IF(_xlpm.mx=0,0,_xlfn.TEXTJOIN(" / ",TRUE,_xlfn._xlws.FILTER(_xlpm.cands,_xlpm.counts=_xlpm.mx)))
)</f>
        <v>Siena</v>
      </c>
      <c r="I38">
        <f>_xlfn.XLOOKUP(H38,'Place Profiles'!A:A,'Place Profiles'!B:B,"0")</f>
        <v>43.3184768539152</v>
      </c>
      <c r="J38">
        <f>_xlfn.XLOOKUP(H38,'Place Profiles'!A:A,'Place Profiles'!C:C,"0")</f>
        <v>11.3310792700061</v>
      </c>
    </row>
    <row r="39" spans="1:10" x14ac:dyDescent="0.45">
      <c r="A39" t="str">
        <v>ID_00038</v>
      </c>
      <c r="B39" t="str">
        <v>1623/08/00</v>
      </c>
      <c r="C39" t="str">
        <v>Firenze/Fiorenza</v>
      </c>
      <c r="D39" s="10">
        <f>_xlfn.XLOOKUP(C39,'Place Profiles'!A:A,'Place Profiles'!B:B,"0")</f>
        <v>43.773821664204803</v>
      </c>
      <c r="E39" s="10">
        <f>_xlfn.XLOOKUP(C39,'Place Profiles'!A:A,'Place Profiles'!C:C,"0")</f>
        <v>11.2555362617661</v>
      </c>
      <c r="F39" t="str">
        <v>von Habsburg, Maria Magdalena</v>
      </c>
      <c r="G39" t="str">
        <v>d'Elci, Orso</v>
      </c>
      <c r="H39" t="str" cm="1">
        <f t="array" ref="H39">_xlfn.LET(
_xlpm.t,$G39,
_xlpm.cands,_xlfn._xlws.FILTER('Place Profiles'!$G$2:$G$929,'Place Profiles'!$G$2:$G$929&lt;&gt;""),
_xlpm.counts,COUNTIFS('Raw Data'!$G$2:$G$501,_xlpm.t,'Raw Data'!$F$2:$F$501,_xlpm.cands),
_xlpm.mx,MAX(_xlpm.counts),
IF(_xlpm.mx=0,0,_xlfn.TEXTJOIN(" / ",TRUE,_xlfn._xlws.FILTER(_xlpm.cands,_xlpm.counts=_xlpm.mx)))
)</f>
        <v>Siena</v>
      </c>
      <c r="I39">
        <f>_xlfn.XLOOKUP(H39,'Place Profiles'!A:A,'Place Profiles'!B:B,"0")</f>
        <v>43.3184768539152</v>
      </c>
      <c r="J39">
        <f>_xlfn.XLOOKUP(H39,'Place Profiles'!A:A,'Place Profiles'!C:C,"0")</f>
        <v>11.3310792700061</v>
      </c>
    </row>
    <row r="40" spans="1:10" x14ac:dyDescent="0.45">
      <c r="A40" t="str">
        <v>ID_00039</v>
      </c>
      <c r="B40" t="str">
        <v>1623/12/20</v>
      </c>
      <c r="C40" t="str">
        <v>Firenze/Fiorenza</v>
      </c>
      <c r="D40" s="10">
        <f>_xlfn.XLOOKUP(C40,'Place Profiles'!A:A,'Place Profiles'!B:B,"0")</f>
        <v>43.773821664204803</v>
      </c>
      <c r="E40" s="10">
        <f>_xlfn.XLOOKUP(C40,'Place Profiles'!A:A,'Place Profiles'!C:C,"0")</f>
        <v>11.2555362617661</v>
      </c>
      <c r="F40" t="str">
        <v>von Habsburg, Maria Magdalena</v>
      </c>
      <c r="G40" t="str">
        <v>d'Elci, Orso</v>
      </c>
      <c r="H40" t="str" cm="1">
        <f t="array" ref="H40">_xlfn.LET(
_xlpm.t,$G40,
_xlpm.cands,_xlfn._xlws.FILTER('Place Profiles'!$G$2:$G$929,'Place Profiles'!$G$2:$G$929&lt;&gt;""),
_xlpm.counts,COUNTIFS('Raw Data'!$G$2:$G$501,_xlpm.t,'Raw Data'!$F$2:$F$501,_xlpm.cands),
_xlpm.mx,MAX(_xlpm.counts),
IF(_xlpm.mx=0,0,_xlfn.TEXTJOIN(" / ",TRUE,_xlfn._xlws.FILTER(_xlpm.cands,_xlpm.counts=_xlpm.mx)))
)</f>
        <v>Siena</v>
      </c>
      <c r="I40">
        <f>_xlfn.XLOOKUP(H40,'Place Profiles'!A:A,'Place Profiles'!B:B,"0")</f>
        <v>43.3184768539152</v>
      </c>
      <c r="J40">
        <f>_xlfn.XLOOKUP(H40,'Place Profiles'!A:A,'Place Profiles'!C:C,"0")</f>
        <v>11.3310792700061</v>
      </c>
    </row>
    <row r="41" spans="1:10" x14ac:dyDescent="0.45">
      <c r="A41" t="str">
        <v>ID_00040</v>
      </c>
      <c r="B41" t="str">
        <v>1623/00/13</v>
      </c>
      <c r="C41" t="str">
        <v>Firenze/Fiorenza</v>
      </c>
      <c r="D41" s="10">
        <f>_xlfn.XLOOKUP(C41,'Place Profiles'!A:A,'Place Profiles'!B:B,"0")</f>
        <v>43.773821664204803</v>
      </c>
      <c r="E41" s="10">
        <f>_xlfn.XLOOKUP(C41,'Place Profiles'!A:A,'Place Profiles'!C:C,"0")</f>
        <v>11.2555362617661</v>
      </c>
      <c r="F41" t="str">
        <v>von Habsburg, Maria Magdalena</v>
      </c>
      <c r="G41" t="str">
        <v>d'Elci, Orso</v>
      </c>
      <c r="H41" t="str" cm="1">
        <f t="array" ref="H41">_xlfn.LET(
_xlpm.t,$G41,
_xlpm.cands,_xlfn._xlws.FILTER('Place Profiles'!$G$2:$G$929,'Place Profiles'!$G$2:$G$929&lt;&gt;""),
_xlpm.counts,COUNTIFS('Raw Data'!$G$2:$G$501,_xlpm.t,'Raw Data'!$F$2:$F$501,_xlpm.cands),
_xlpm.mx,MAX(_xlpm.counts),
IF(_xlpm.mx=0,0,_xlfn.TEXTJOIN(" / ",TRUE,_xlfn._xlws.FILTER(_xlpm.cands,_xlpm.counts=_xlpm.mx)))
)</f>
        <v>Siena</v>
      </c>
      <c r="I41">
        <f>_xlfn.XLOOKUP(H41,'Place Profiles'!A:A,'Place Profiles'!B:B,"0")</f>
        <v>43.3184768539152</v>
      </c>
      <c r="J41">
        <f>_xlfn.XLOOKUP(H41,'Place Profiles'!A:A,'Place Profiles'!C:C,"0")</f>
        <v>11.3310792700061</v>
      </c>
    </row>
    <row r="42" spans="1:10" x14ac:dyDescent="0.45">
      <c r="A42" t="str">
        <v>ID_00041</v>
      </c>
      <c r="B42" t="str">
        <v>1623/01/09</v>
      </c>
      <c r="C42" t="str">
        <v>Villa Poggio Imperiale</v>
      </c>
      <c r="D42" s="10">
        <f>_xlfn.XLOOKUP(C42,'Place Profiles'!A:A,'Place Profiles'!B:B,"0")</f>
        <v>43.750267171589698</v>
      </c>
      <c r="E42" s="10">
        <f>_xlfn.XLOOKUP(C42,'Place Profiles'!A:A,'Place Profiles'!C:C,"0")</f>
        <v>11.247396239149801</v>
      </c>
      <c r="F42" t="str">
        <v>von Habsburg, Maria Magdalena</v>
      </c>
      <c r="G42" t="str">
        <v>d'Elci, Orso</v>
      </c>
      <c r="H42" t="str" cm="1">
        <f t="array" ref="H42">_xlfn.LET(
_xlpm.t,$G42,
_xlpm.cands,_xlfn._xlws.FILTER('Place Profiles'!$G$2:$G$929,'Place Profiles'!$G$2:$G$929&lt;&gt;""),
_xlpm.counts,COUNTIFS('Raw Data'!$G$2:$G$501,_xlpm.t,'Raw Data'!$F$2:$F$501,_xlpm.cands),
_xlpm.mx,MAX(_xlpm.counts),
IF(_xlpm.mx=0,0,_xlfn.TEXTJOIN(" / ",TRUE,_xlfn._xlws.FILTER(_xlpm.cands,_xlpm.counts=_xlpm.mx)))
)</f>
        <v>Siena</v>
      </c>
      <c r="I42">
        <f>_xlfn.XLOOKUP(H42,'Place Profiles'!A:A,'Place Profiles'!B:B,"0")</f>
        <v>43.3184768539152</v>
      </c>
      <c r="J42">
        <f>_xlfn.XLOOKUP(H42,'Place Profiles'!A:A,'Place Profiles'!C:C,"0")</f>
        <v>11.3310792700061</v>
      </c>
    </row>
    <row r="43" spans="1:10" x14ac:dyDescent="0.45">
      <c r="A43" t="str">
        <v>ID_00042</v>
      </c>
      <c r="B43" t="str">
        <v>1623/07/13</v>
      </c>
      <c r="C43" t="str">
        <v>Firenze/Fiorenza</v>
      </c>
      <c r="D43" s="10">
        <f>_xlfn.XLOOKUP(C43,'Place Profiles'!A:A,'Place Profiles'!B:B,"0")</f>
        <v>43.773821664204803</v>
      </c>
      <c r="E43" s="10">
        <f>_xlfn.XLOOKUP(C43,'Place Profiles'!A:A,'Place Profiles'!C:C,"0")</f>
        <v>11.2555362617661</v>
      </c>
      <c r="F43" t="str">
        <v>von Habsburg, Maria Magdalena</v>
      </c>
      <c r="G43" t="str">
        <v>d'Elci, Orso</v>
      </c>
      <c r="H43" t="str" cm="1">
        <f t="array" ref="H43">_xlfn.LET(
_xlpm.t,$G43,
_xlpm.cands,_xlfn._xlws.FILTER('Place Profiles'!$G$2:$G$929,'Place Profiles'!$G$2:$G$929&lt;&gt;""),
_xlpm.counts,COUNTIFS('Raw Data'!$G$2:$G$501,_xlpm.t,'Raw Data'!$F$2:$F$501,_xlpm.cands),
_xlpm.mx,MAX(_xlpm.counts),
IF(_xlpm.mx=0,0,_xlfn.TEXTJOIN(" / ",TRUE,_xlfn._xlws.FILTER(_xlpm.cands,_xlpm.counts=_xlpm.mx)))
)</f>
        <v>Siena</v>
      </c>
      <c r="I43">
        <f>_xlfn.XLOOKUP(H43,'Place Profiles'!A:A,'Place Profiles'!B:B,"0")</f>
        <v>43.3184768539152</v>
      </c>
      <c r="J43">
        <f>_xlfn.XLOOKUP(H43,'Place Profiles'!A:A,'Place Profiles'!C:C,"0")</f>
        <v>11.3310792700061</v>
      </c>
    </row>
    <row r="44" spans="1:10" x14ac:dyDescent="0.45">
      <c r="A44" t="str">
        <v>ID_00043</v>
      </c>
      <c r="B44" t="str">
        <v>1623/12/05</v>
      </c>
      <c r="C44" t="str">
        <v>Firenze/Fiorenza</v>
      </c>
      <c r="D44" s="10">
        <f>_xlfn.XLOOKUP(C44,'Place Profiles'!A:A,'Place Profiles'!B:B,"0")</f>
        <v>43.773821664204803</v>
      </c>
      <c r="E44" s="10">
        <f>_xlfn.XLOOKUP(C44,'Place Profiles'!A:A,'Place Profiles'!C:C,"0")</f>
        <v>11.2555362617661</v>
      </c>
      <c r="F44" t="str">
        <v>di Lorena, Cristina</v>
      </c>
      <c r="G44" t="str">
        <v>d'Elci, Orso</v>
      </c>
      <c r="H44" t="str" cm="1">
        <f t="array" ref="H44">_xlfn.LET(
_xlpm.t,$G44,
_xlpm.cands,_xlfn._xlws.FILTER('Place Profiles'!$G$2:$G$929,'Place Profiles'!$G$2:$G$929&lt;&gt;""),
_xlpm.counts,COUNTIFS('Raw Data'!$G$2:$G$501,_xlpm.t,'Raw Data'!$F$2:$F$501,_xlpm.cands),
_xlpm.mx,MAX(_xlpm.counts),
IF(_xlpm.mx=0,0,_xlfn.TEXTJOIN(" / ",TRUE,_xlfn._xlws.FILTER(_xlpm.cands,_xlpm.counts=_xlpm.mx)))
)</f>
        <v>Siena</v>
      </c>
      <c r="I44">
        <f>_xlfn.XLOOKUP(H44,'Place Profiles'!A:A,'Place Profiles'!B:B,"0")</f>
        <v>43.3184768539152</v>
      </c>
      <c r="J44">
        <f>_xlfn.XLOOKUP(H44,'Place Profiles'!A:A,'Place Profiles'!C:C,"0")</f>
        <v>11.3310792700061</v>
      </c>
    </row>
    <row r="45" spans="1:10" x14ac:dyDescent="0.45">
      <c r="A45" t="str">
        <v>ID_00044</v>
      </c>
      <c r="B45" t="str">
        <v>1623/12/11</v>
      </c>
      <c r="C45" t="str">
        <v>Firenze/Fiorenza</v>
      </c>
      <c r="D45" s="10">
        <f>_xlfn.XLOOKUP(C45,'Place Profiles'!A:A,'Place Profiles'!B:B,"0")</f>
        <v>43.773821664204803</v>
      </c>
      <c r="E45" s="10">
        <f>_xlfn.XLOOKUP(C45,'Place Profiles'!A:A,'Place Profiles'!C:C,"0")</f>
        <v>11.2555362617661</v>
      </c>
      <c r="F45" t="str">
        <v>di Lorena, Cristina</v>
      </c>
      <c r="G45" t="str">
        <v>d'Elci, Orso</v>
      </c>
      <c r="H45" t="str" cm="1">
        <f t="array" ref="H45">_xlfn.LET(
_xlpm.t,$G45,
_xlpm.cands,_xlfn._xlws.FILTER('Place Profiles'!$G$2:$G$929,'Place Profiles'!$G$2:$G$929&lt;&gt;""),
_xlpm.counts,COUNTIFS('Raw Data'!$G$2:$G$501,_xlpm.t,'Raw Data'!$F$2:$F$501,_xlpm.cands),
_xlpm.mx,MAX(_xlpm.counts),
IF(_xlpm.mx=0,0,_xlfn.TEXTJOIN(" / ",TRUE,_xlfn._xlws.FILTER(_xlpm.cands,_xlpm.counts=_xlpm.mx)))
)</f>
        <v>Siena</v>
      </c>
      <c r="I45">
        <f>_xlfn.XLOOKUP(H45,'Place Profiles'!A:A,'Place Profiles'!B:B,"0")</f>
        <v>43.3184768539152</v>
      </c>
      <c r="J45">
        <f>_xlfn.XLOOKUP(H45,'Place Profiles'!A:A,'Place Profiles'!C:C,"0")</f>
        <v>11.3310792700061</v>
      </c>
    </row>
    <row r="46" spans="1:10" x14ac:dyDescent="0.45">
      <c r="A46" t="str">
        <v>ID_00045</v>
      </c>
      <c r="B46" t="str">
        <v>1623/01/03</v>
      </c>
      <c r="C46" t="str">
        <v>Firenze/Fiorenza</v>
      </c>
      <c r="D46" s="10">
        <f>_xlfn.XLOOKUP(C46,'Place Profiles'!A:A,'Place Profiles'!B:B,"0")</f>
        <v>43.773821664204803</v>
      </c>
      <c r="E46" s="10">
        <f>_xlfn.XLOOKUP(C46,'Place Profiles'!A:A,'Place Profiles'!C:C,"0")</f>
        <v>11.2555362617661</v>
      </c>
      <c r="F46" t="str">
        <v>von Habsburg, Maria Magdalena</v>
      </c>
      <c r="G46" t="str">
        <v>d'Elci, Orso</v>
      </c>
      <c r="H46" t="str" cm="1">
        <f t="array" ref="H46">_xlfn.LET(
_xlpm.t,$G46,
_xlpm.cands,_xlfn._xlws.FILTER('Place Profiles'!$G$2:$G$929,'Place Profiles'!$G$2:$G$929&lt;&gt;""),
_xlpm.counts,COUNTIFS('Raw Data'!$G$2:$G$501,_xlpm.t,'Raw Data'!$F$2:$F$501,_xlpm.cands),
_xlpm.mx,MAX(_xlpm.counts),
IF(_xlpm.mx=0,0,_xlfn.TEXTJOIN(" / ",TRUE,_xlfn._xlws.FILTER(_xlpm.cands,_xlpm.counts=_xlpm.mx)))
)</f>
        <v>Siena</v>
      </c>
      <c r="I46">
        <f>_xlfn.XLOOKUP(H46,'Place Profiles'!A:A,'Place Profiles'!B:B,"0")</f>
        <v>43.3184768539152</v>
      </c>
      <c r="J46">
        <f>_xlfn.XLOOKUP(H46,'Place Profiles'!A:A,'Place Profiles'!C:C,"0")</f>
        <v>11.3310792700061</v>
      </c>
    </row>
    <row r="47" spans="1:10" x14ac:dyDescent="0.45">
      <c r="A47" t="str">
        <v>ID_00046</v>
      </c>
      <c r="B47" t="str">
        <v>1623/07/06</v>
      </c>
      <c r="C47" t="str">
        <v>Firenze/Fiorenza</v>
      </c>
      <c r="D47" s="10">
        <f>_xlfn.XLOOKUP(C47,'Place Profiles'!A:A,'Place Profiles'!B:B,"0")</f>
        <v>43.773821664204803</v>
      </c>
      <c r="E47" s="10">
        <f>_xlfn.XLOOKUP(C47,'Place Profiles'!A:A,'Place Profiles'!C:C,"0")</f>
        <v>11.2555362617661</v>
      </c>
      <c r="F47" t="str">
        <v>von Habsburg, Maria Magdalena</v>
      </c>
      <c r="G47" t="str">
        <v>d'Elci, Orso</v>
      </c>
      <c r="H47" t="str" cm="1">
        <f t="array" ref="H47">_xlfn.LET(
_xlpm.t,$G47,
_xlpm.cands,_xlfn._xlws.FILTER('Place Profiles'!$G$2:$G$929,'Place Profiles'!$G$2:$G$929&lt;&gt;""),
_xlpm.counts,COUNTIFS('Raw Data'!$G$2:$G$501,_xlpm.t,'Raw Data'!$F$2:$F$501,_xlpm.cands),
_xlpm.mx,MAX(_xlpm.counts),
IF(_xlpm.mx=0,0,_xlfn.TEXTJOIN(" / ",TRUE,_xlfn._xlws.FILTER(_xlpm.cands,_xlpm.counts=_xlpm.mx)))
)</f>
        <v>Siena</v>
      </c>
      <c r="I47">
        <f>_xlfn.XLOOKUP(H47,'Place Profiles'!A:A,'Place Profiles'!B:B,"0")</f>
        <v>43.3184768539152</v>
      </c>
      <c r="J47">
        <f>_xlfn.XLOOKUP(H47,'Place Profiles'!A:A,'Place Profiles'!C:C,"0")</f>
        <v>11.3310792700061</v>
      </c>
    </row>
    <row r="48" spans="1:10" x14ac:dyDescent="0.45">
      <c r="A48" t="str">
        <v>ID_00047</v>
      </c>
      <c r="B48" t="str">
        <v>1624/09/18</v>
      </c>
      <c r="C48" t="str">
        <v>Firenze/Fiorenza</v>
      </c>
      <c r="D48" s="10">
        <f>_xlfn.XLOOKUP(C48,'Place Profiles'!A:A,'Place Profiles'!B:B,"0")</f>
        <v>43.773821664204803</v>
      </c>
      <c r="E48" s="10">
        <f>_xlfn.XLOOKUP(C48,'Place Profiles'!A:A,'Place Profiles'!C:C,"0")</f>
        <v>11.2555362617661</v>
      </c>
      <c r="F48" t="str">
        <v>von Habsburg, Maria Magdalena</v>
      </c>
      <c r="G48" t="str">
        <v>d'Elci, Orso</v>
      </c>
      <c r="H48" t="str" cm="1">
        <f t="array" ref="H48">_xlfn.LET(
_xlpm.t,$G48,
_xlpm.cands,_xlfn._xlws.FILTER('Place Profiles'!$G$2:$G$929,'Place Profiles'!$G$2:$G$929&lt;&gt;""),
_xlpm.counts,COUNTIFS('Raw Data'!$G$2:$G$501,_xlpm.t,'Raw Data'!$F$2:$F$501,_xlpm.cands),
_xlpm.mx,MAX(_xlpm.counts),
IF(_xlpm.mx=0,0,_xlfn.TEXTJOIN(" / ",TRUE,_xlfn._xlws.FILTER(_xlpm.cands,_xlpm.counts=_xlpm.mx)))
)</f>
        <v>Siena</v>
      </c>
      <c r="I48">
        <f>_xlfn.XLOOKUP(H48,'Place Profiles'!A:A,'Place Profiles'!B:B,"0")</f>
        <v>43.3184768539152</v>
      </c>
      <c r="J48">
        <f>_xlfn.XLOOKUP(H48,'Place Profiles'!A:A,'Place Profiles'!C:C,"0")</f>
        <v>11.3310792700061</v>
      </c>
    </row>
    <row r="49" spans="1:10" x14ac:dyDescent="0.45">
      <c r="A49" t="str">
        <v>ID_00048</v>
      </c>
      <c r="B49" t="str">
        <v>1624/05/09</v>
      </c>
      <c r="C49" t="str">
        <v>Firenze/Fiorenza</v>
      </c>
      <c r="D49" s="10">
        <f>_xlfn.XLOOKUP(C49,'Place Profiles'!A:A,'Place Profiles'!B:B,"0")</f>
        <v>43.773821664204803</v>
      </c>
      <c r="E49" s="10">
        <f>_xlfn.XLOOKUP(C49,'Place Profiles'!A:A,'Place Profiles'!C:C,"0")</f>
        <v>11.2555362617661</v>
      </c>
      <c r="F49" t="str">
        <v>von Habsburg, Maria Magdalena</v>
      </c>
      <c r="G49" t="str">
        <v>de' Medici, Carlo</v>
      </c>
      <c r="H49" t="str" cm="1">
        <f t="array" ref="H49">_xlfn.LET(
_xlpm.t,$G49,
_xlpm.cands,_xlfn._xlws.FILTER('Place Profiles'!$G$2:$G$929,'Place Profiles'!$G$2:$G$929&lt;&gt;""),
_xlpm.counts,COUNTIFS('Raw Data'!$G$2:$G$501,_xlpm.t,'Raw Data'!$F$2:$F$501,_xlpm.cands),
_xlpm.mx,MAX(_xlpm.counts),
IF(_xlpm.mx=0,0,_xlfn.TEXTJOIN(" / ",TRUE,_xlfn._xlws.FILTER(_xlpm.cands,_xlpm.counts=_xlpm.mx)))
)</f>
        <v>Firenze/Fiorenza</v>
      </c>
      <c r="I49">
        <f>_xlfn.XLOOKUP(H49,'Place Profiles'!A:A,'Place Profiles'!B:B,"0")</f>
        <v>43.773821664204803</v>
      </c>
      <c r="J49">
        <f>_xlfn.XLOOKUP(H49,'Place Profiles'!A:A,'Place Profiles'!C:C,"0")</f>
        <v>11.2555362617661</v>
      </c>
    </row>
    <row r="50" spans="1:10" x14ac:dyDescent="0.45">
      <c r="A50" t="str">
        <v>ID_00049</v>
      </c>
      <c r="B50" t="str">
        <v>1624/04/14</v>
      </c>
      <c r="C50" t="str">
        <v>Pisa</v>
      </c>
      <c r="D50" s="10">
        <f>_xlfn.XLOOKUP(C50,'Place Profiles'!A:A,'Place Profiles'!B:B,"0")</f>
        <v>43.722514463828503</v>
      </c>
      <c r="E50" s="10">
        <f>_xlfn.XLOOKUP(C50,'Place Profiles'!A:A,'Place Profiles'!C:C,"0")</f>
        <v>10.3960522879613</v>
      </c>
      <c r="F50" t="str">
        <v>von Habsburg, Maria Magdalena</v>
      </c>
      <c r="G50" t="str">
        <v>d'Elci, Orso</v>
      </c>
      <c r="H50" t="str" cm="1">
        <f t="array" ref="H50">_xlfn.LET(
_xlpm.t,$G50,
_xlpm.cands,_xlfn._xlws.FILTER('Place Profiles'!$G$2:$G$929,'Place Profiles'!$G$2:$G$929&lt;&gt;""),
_xlpm.counts,COUNTIFS('Raw Data'!$G$2:$G$501,_xlpm.t,'Raw Data'!$F$2:$F$501,_xlpm.cands),
_xlpm.mx,MAX(_xlpm.counts),
IF(_xlpm.mx=0,0,_xlfn.TEXTJOIN(" / ",TRUE,_xlfn._xlws.FILTER(_xlpm.cands,_xlpm.counts=_xlpm.mx)))
)</f>
        <v>Siena</v>
      </c>
      <c r="I50">
        <f>_xlfn.XLOOKUP(H50,'Place Profiles'!A:A,'Place Profiles'!B:B,"0")</f>
        <v>43.3184768539152</v>
      </c>
      <c r="J50">
        <f>_xlfn.XLOOKUP(H50,'Place Profiles'!A:A,'Place Profiles'!C:C,"0")</f>
        <v>11.3310792700061</v>
      </c>
    </row>
    <row r="51" spans="1:10" x14ac:dyDescent="0.45">
      <c r="A51" t="str">
        <v>ID_00050</v>
      </c>
      <c r="B51" t="str">
        <v>1624/01/01</v>
      </c>
      <c r="C51" t="str">
        <v>Firenze/Fiorenza</v>
      </c>
      <c r="D51" s="10">
        <f>_xlfn.XLOOKUP(C51,'Place Profiles'!A:A,'Place Profiles'!B:B,"0")</f>
        <v>43.773821664204803</v>
      </c>
      <c r="E51" s="10">
        <f>_xlfn.XLOOKUP(C51,'Place Profiles'!A:A,'Place Profiles'!C:C,"0")</f>
        <v>11.2555362617661</v>
      </c>
      <c r="F51" t="str">
        <v>von Habsburg, Maria Magdalena</v>
      </c>
      <c r="G51" t="str">
        <v>d'Elci, Orso</v>
      </c>
      <c r="H51" t="str" cm="1">
        <f t="array" ref="H51">_xlfn.LET(
_xlpm.t,$G51,
_xlpm.cands,_xlfn._xlws.FILTER('Place Profiles'!$G$2:$G$929,'Place Profiles'!$G$2:$G$929&lt;&gt;""),
_xlpm.counts,COUNTIFS('Raw Data'!$G$2:$G$501,_xlpm.t,'Raw Data'!$F$2:$F$501,_xlpm.cands),
_xlpm.mx,MAX(_xlpm.counts),
IF(_xlpm.mx=0,0,_xlfn.TEXTJOIN(" / ",TRUE,_xlfn._xlws.FILTER(_xlpm.cands,_xlpm.counts=_xlpm.mx)))
)</f>
        <v>Siena</v>
      </c>
      <c r="I51">
        <f>_xlfn.XLOOKUP(H51,'Place Profiles'!A:A,'Place Profiles'!B:B,"0")</f>
        <v>43.3184768539152</v>
      </c>
      <c r="J51">
        <f>_xlfn.XLOOKUP(H51,'Place Profiles'!A:A,'Place Profiles'!C:C,"0")</f>
        <v>11.3310792700061</v>
      </c>
    </row>
    <row r="52" spans="1:10" x14ac:dyDescent="0.45">
      <c r="A52" t="str">
        <v>ID_00051</v>
      </c>
      <c r="B52" t="str">
        <v>1624/04/04</v>
      </c>
      <c r="C52" t="str">
        <v>Pisa</v>
      </c>
      <c r="D52" s="10">
        <f>_xlfn.XLOOKUP(C52,'Place Profiles'!A:A,'Place Profiles'!B:B,"0")</f>
        <v>43.722514463828503</v>
      </c>
      <c r="E52" s="10">
        <f>_xlfn.XLOOKUP(C52,'Place Profiles'!A:A,'Place Profiles'!C:C,"0")</f>
        <v>10.3960522879613</v>
      </c>
      <c r="F52" t="str">
        <v>von Habsburg, Maria Magdalena</v>
      </c>
      <c r="G52" t="str">
        <v>d'Elci, Orso</v>
      </c>
      <c r="H52" t="str" cm="1">
        <f t="array" ref="H52">_xlfn.LET(
_xlpm.t,$G52,
_xlpm.cands,_xlfn._xlws.FILTER('Place Profiles'!$G$2:$G$929,'Place Profiles'!$G$2:$G$929&lt;&gt;""),
_xlpm.counts,COUNTIFS('Raw Data'!$G$2:$G$501,_xlpm.t,'Raw Data'!$F$2:$F$501,_xlpm.cands),
_xlpm.mx,MAX(_xlpm.counts),
IF(_xlpm.mx=0,0,_xlfn.TEXTJOIN(" / ",TRUE,_xlfn._xlws.FILTER(_xlpm.cands,_xlpm.counts=_xlpm.mx)))
)</f>
        <v>Siena</v>
      </c>
      <c r="I52">
        <f>_xlfn.XLOOKUP(H52,'Place Profiles'!A:A,'Place Profiles'!B:B,"0")</f>
        <v>43.3184768539152</v>
      </c>
      <c r="J52">
        <f>_xlfn.XLOOKUP(H52,'Place Profiles'!A:A,'Place Profiles'!C:C,"0")</f>
        <v>11.3310792700061</v>
      </c>
    </row>
    <row r="53" spans="1:10" x14ac:dyDescent="0.45">
      <c r="A53" t="str">
        <v>ID_00052</v>
      </c>
      <c r="B53" t="str">
        <v>1624/05/22</v>
      </c>
      <c r="C53" t="str">
        <v>Villa de Baroncelli</v>
      </c>
      <c r="D53" s="10">
        <f>_xlfn.XLOOKUP(C53,'Place Profiles'!A:A,'Place Profiles'!B:B,"0")</f>
        <v>43.750267171589698</v>
      </c>
      <c r="E53" s="10">
        <f>_xlfn.XLOOKUP(C53,'Place Profiles'!A:A,'Place Profiles'!C:C,"0")</f>
        <v>11.247396239149801</v>
      </c>
      <c r="F53" t="str">
        <v>von Habsburg, Maria Magdalena</v>
      </c>
      <c r="G53" t="str">
        <v>d'Elci, Orso</v>
      </c>
      <c r="H53" t="str" cm="1">
        <f t="array" ref="H53">_xlfn.LET(
_xlpm.t,$G53,
_xlpm.cands,_xlfn._xlws.FILTER('Place Profiles'!$G$2:$G$929,'Place Profiles'!$G$2:$G$929&lt;&gt;""),
_xlpm.counts,COUNTIFS('Raw Data'!$G$2:$G$501,_xlpm.t,'Raw Data'!$F$2:$F$501,_xlpm.cands),
_xlpm.mx,MAX(_xlpm.counts),
IF(_xlpm.mx=0,0,_xlfn.TEXTJOIN(" / ",TRUE,_xlfn._xlws.FILTER(_xlpm.cands,_xlpm.counts=_xlpm.mx)))
)</f>
        <v>Siena</v>
      </c>
      <c r="I53">
        <f>_xlfn.XLOOKUP(H53,'Place Profiles'!A:A,'Place Profiles'!B:B,"0")</f>
        <v>43.3184768539152</v>
      </c>
      <c r="J53">
        <f>_xlfn.XLOOKUP(H53,'Place Profiles'!A:A,'Place Profiles'!C:C,"0")</f>
        <v>11.3310792700061</v>
      </c>
    </row>
    <row r="54" spans="1:10" x14ac:dyDescent="0.45">
      <c r="A54" t="str">
        <v>ID_00053</v>
      </c>
      <c r="B54" t="str">
        <v>1624/03/02</v>
      </c>
      <c r="C54" t="str">
        <v>Pisa</v>
      </c>
      <c r="D54" s="10">
        <f>_xlfn.XLOOKUP(C54,'Place Profiles'!A:A,'Place Profiles'!B:B,"0")</f>
        <v>43.722514463828503</v>
      </c>
      <c r="E54" s="10">
        <f>_xlfn.XLOOKUP(C54,'Place Profiles'!A:A,'Place Profiles'!C:C,"0")</f>
        <v>10.3960522879613</v>
      </c>
      <c r="F54" t="str">
        <v>von Habsburg, Maria Magdalena</v>
      </c>
      <c r="G54" t="str">
        <v>d'Elci, Orso</v>
      </c>
      <c r="H54" t="str" cm="1">
        <f t="array" ref="H54">_xlfn.LET(
_xlpm.t,$G54,
_xlpm.cands,_xlfn._xlws.FILTER('Place Profiles'!$G$2:$G$929,'Place Profiles'!$G$2:$G$929&lt;&gt;""),
_xlpm.counts,COUNTIFS('Raw Data'!$G$2:$G$501,_xlpm.t,'Raw Data'!$F$2:$F$501,_xlpm.cands),
_xlpm.mx,MAX(_xlpm.counts),
IF(_xlpm.mx=0,0,_xlfn.TEXTJOIN(" / ",TRUE,_xlfn._xlws.FILTER(_xlpm.cands,_xlpm.counts=_xlpm.mx)))
)</f>
        <v>Siena</v>
      </c>
      <c r="I54">
        <f>_xlfn.XLOOKUP(H54,'Place Profiles'!A:A,'Place Profiles'!B:B,"0")</f>
        <v>43.3184768539152</v>
      </c>
      <c r="J54">
        <f>_xlfn.XLOOKUP(H54,'Place Profiles'!A:A,'Place Profiles'!C:C,"0")</f>
        <v>11.3310792700061</v>
      </c>
    </row>
    <row r="55" spans="1:10" x14ac:dyDescent="0.45">
      <c r="A55" t="str">
        <v>ID_00054</v>
      </c>
      <c r="B55" t="str">
        <v>1624/03/27</v>
      </c>
      <c r="C55" t="str">
        <v>Firenze/Fiorenza</v>
      </c>
      <c r="D55" s="10">
        <f>_xlfn.XLOOKUP(C55,'Place Profiles'!A:A,'Place Profiles'!B:B,"0")</f>
        <v>43.773821664204803</v>
      </c>
      <c r="E55" s="10">
        <f>_xlfn.XLOOKUP(C55,'Place Profiles'!A:A,'Place Profiles'!C:C,"0")</f>
        <v>11.2555362617661</v>
      </c>
      <c r="F55" t="str">
        <v>von Habsburg, Maria Magdalena</v>
      </c>
      <c r="G55" t="str">
        <v>d'Elci, Orso</v>
      </c>
      <c r="H55" t="str" cm="1">
        <f t="array" ref="H55">_xlfn.LET(
_xlpm.t,$G55,
_xlpm.cands,_xlfn._xlws.FILTER('Place Profiles'!$G$2:$G$929,'Place Profiles'!$G$2:$G$929&lt;&gt;""),
_xlpm.counts,COUNTIFS('Raw Data'!$G$2:$G$501,_xlpm.t,'Raw Data'!$F$2:$F$501,_xlpm.cands),
_xlpm.mx,MAX(_xlpm.counts),
IF(_xlpm.mx=0,0,_xlfn.TEXTJOIN(" / ",TRUE,_xlfn._xlws.FILTER(_xlpm.cands,_xlpm.counts=_xlpm.mx)))
)</f>
        <v>Siena</v>
      </c>
      <c r="I55">
        <f>_xlfn.XLOOKUP(H55,'Place Profiles'!A:A,'Place Profiles'!B:B,"0")</f>
        <v>43.3184768539152</v>
      </c>
      <c r="J55">
        <f>_xlfn.XLOOKUP(H55,'Place Profiles'!A:A,'Place Profiles'!C:C,"0")</f>
        <v>11.3310792700061</v>
      </c>
    </row>
    <row r="56" spans="1:10" x14ac:dyDescent="0.45">
      <c r="A56" t="str">
        <v>ID_00055</v>
      </c>
      <c r="B56" t="str">
        <v>1623/01/30</v>
      </c>
      <c r="C56" t="str">
        <v>Firenze/Fiorenza</v>
      </c>
      <c r="D56" s="10">
        <f>_xlfn.XLOOKUP(C56,'Place Profiles'!A:A,'Place Profiles'!B:B,"0")</f>
        <v>43.773821664204803</v>
      </c>
      <c r="E56" s="10">
        <f>_xlfn.XLOOKUP(C56,'Place Profiles'!A:A,'Place Profiles'!C:C,"0")</f>
        <v>11.2555362617661</v>
      </c>
      <c r="F56" t="str">
        <v>von Habsburg, Maria Magdalena</v>
      </c>
      <c r="G56" t="str">
        <v>d'Elci, Orso</v>
      </c>
      <c r="H56" t="str" cm="1">
        <f t="array" ref="H56">_xlfn.LET(
_xlpm.t,$G56,
_xlpm.cands,_xlfn._xlws.FILTER('Place Profiles'!$G$2:$G$929,'Place Profiles'!$G$2:$G$929&lt;&gt;""),
_xlpm.counts,COUNTIFS('Raw Data'!$G$2:$G$501,_xlpm.t,'Raw Data'!$F$2:$F$501,_xlpm.cands),
_xlpm.mx,MAX(_xlpm.counts),
IF(_xlpm.mx=0,0,_xlfn.TEXTJOIN(" / ",TRUE,_xlfn._xlws.FILTER(_xlpm.cands,_xlpm.counts=_xlpm.mx)))
)</f>
        <v>Siena</v>
      </c>
      <c r="I56">
        <f>_xlfn.XLOOKUP(H56,'Place Profiles'!A:A,'Place Profiles'!B:B,"0")</f>
        <v>43.3184768539152</v>
      </c>
      <c r="J56">
        <f>_xlfn.XLOOKUP(H56,'Place Profiles'!A:A,'Place Profiles'!C:C,"0")</f>
        <v>11.3310792700061</v>
      </c>
    </row>
    <row r="57" spans="1:10" x14ac:dyDescent="0.45">
      <c r="A57" t="str">
        <v>ID_00056</v>
      </c>
      <c r="B57" t="str">
        <v>1624/05/08</v>
      </c>
      <c r="C57" t="str">
        <v>Firenze/Fiorenza</v>
      </c>
      <c r="D57" s="10">
        <f>_xlfn.XLOOKUP(C57,'Place Profiles'!A:A,'Place Profiles'!B:B,"0")</f>
        <v>43.773821664204803</v>
      </c>
      <c r="E57" s="10">
        <f>_xlfn.XLOOKUP(C57,'Place Profiles'!A:A,'Place Profiles'!C:C,"0")</f>
        <v>11.2555362617661</v>
      </c>
      <c r="F57" t="str">
        <v>von Habsburg, Maria Magdalena</v>
      </c>
      <c r="G57" t="str">
        <v>d'Elci, Orso</v>
      </c>
      <c r="H57" t="str" cm="1">
        <f t="array" ref="H57">_xlfn.LET(
_xlpm.t,$G57,
_xlpm.cands,_xlfn._xlws.FILTER('Place Profiles'!$G$2:$G$929,'Place Profiles'!$G$2:$G$929&lt;&gt;""),
_xlpm.counts,COUNTIFS('Raw Data'!$G$2:$G$501,_xlpm.t,'Raw Data'!$F$2:$F$501,_xlpm.cands),
_xlpm.mx,MAX(_xlpm.counts),
IF(_xlpm.mx=0,0,_xlfn.TEXTJOIN(" / ",TRUE,_xlfn._xlws.FILTER(_xlpm.cands,_xlpm.counts=_xlpm.mx)))
)</f>
        <v>Siena</v>
      </c>
      <c r="I57">
        <f>_xlfn.XLOOKUP(H57,'Place Profiles'!A:A,'Place Profiles'!B:B,"0")</f>
        <v>43.3184768539152</v>
      </c>
      <c r="J57">
        <f>_xlfn.XLOOKUP(H57,'Place Profiles'!A:A,'Place Profiles'!C:C,"0")</f>
        <v>11.3310792700061</v>
      </c>
    </row>
    <row r="58" spans="1:10" x14ac:dyDescent="0.45">
      <c r="A58" t="str">
        <v>ID_00057</v>
      </c>
      <c r="B58" t="str">
        <v>1624/05/06</v>
      </c>
      <c r="C58" t="str">
        <v>Firenze/Fiorenza</v>
      </c>
      <c r="D58" s="10">
        <f>_xlfn.XLOOKUP(C58,'Place Profiles'!A:A,'Place Profiles'!B:B,"0")</f>
        <v>43.773821664204803</v>
      </c>
      <c r="E58" s="10">
        <f>_xlfn.XLOOKUP(C58,'Place Profiles'!A:A,'Place Profiles'!C:C,"0")</f>
        <v>11.2555362617661</v>
      </c>
      <c r="F58" t="str">
        <v>von Habsburg, Maria Magdalena</v>
      </c>
      <c r="G58" t="str">
        <v>d'Elci, Orso</v>
      </c>
      <c r="H58" t="str" cm="1">
        <f t="array" ref="H58">_xlfn.LET(
_xlpm.t,$G58,
_xlpm.cands,_xlfn._xlws.FILTER('Place Profiles'!$G$2:$G$929,'Place Profiles'!$G$2:$G$929&lt;&gt;""),
_xlpm.counts,COUNTIFS('Raw Data'!$G$2:$G$501,_xlpm.t,'Raw Data'!$F$2:$F$501,_xlpm.cands),
_xlpm.mx,MAX(_xlpm.counts),
IF(_xlpm.mx=0,0,_xlfn.TEXTJOIN(" / ",TRUE,_xlfn._xlws.FILTER(_xlpm.cands,_xlpm.counts=_xlpm.mx)))
)</f>
        <v>Siena</v>
      </c>
      <c r="I58">
        <f>_xlfn.XLOOKUP(H58,'Place Profiles'!A:A,'Place Profiles'!B:B,"0")</f>
        <v>43.3184768539152</v>
      </c>
      <c r="J58">
        <f>_xlfn.XLOOKUP(H58,'Place Profiles'!A:A,'Place Profiles'!C:C,"0")</f>
        <v>11.3310792700061</v>
      </c>
    </row>
    <row r="59" spans="1:10" x14ac:dyDescent="0.45">
      <c r="A59" t="str">
        <v>ID_00058</v>
      </c>
      <c r="B59" t="str">
        <v>1624/05/04</v>
      </c>
      <c r="C59" t="str">
        <v>Ambrogiana</v>
      </c>
      <c r="D59" s="10">
        <f>_xlfn.XLOOKUP(C59,'Place Profiles'!A:A,'Place Profiles'!B:B,"0")</f>
        <v>43.731061509702798</v>
      </c>
      <c r="E59" s="10">
        <f>_xlfn.XLOOKUP(C59,'Place Profiles'!A:A,'Place Profiles'!C:C,"0")</f>
        <v>11.014484766215199</v>
      </c>
      <c r="F59" t="str">
        <v>von Habsburg, Maria Magdalena</v>
      </c>
      <c r="G59" t="str">
        <v>d'Elci, Orso</v>
      </c>
      <c r="H59" t="str" cm="1">
        <f t="array" ref="H59">_xlfn.LET(
_xlpm.t,$G59,
_xlpm.cands,_xlfn._xlws.FILTER('Place Profiles'!$G$2:$G$929,'Place Profiles'!$G$2:$G$929&lt;&gt;""),
_xlpm.counts,COUNTIFS('Raw Data'!$G$2:$G$501,_xlpm.t,'Raw Data'!$F$2:$F$501,_xlpm.cands),
_xlpm.mx,MAX(_xlpm.counts),
IF(_xlpm.mx=0,0,_xlfn.TEXTJOIN(" / ",TRUE,_xlfn._xlws.FILTER(_xlpm.cands,_xlpm.counts=_xlpm.mx)))
)</f>
        <v>Siena</v>
      </c>
      <c r="I59">
        <f>_xlfn.XLOOKUP(H59,'Place Profiles'!A:A,'Place Profiles'!B:B,"0")</f>
        <v>43.3184768539152</v>
      </c>
      <c r="J59">
        <f>_xlfn.XLOOKUP(H59,'Place Profiles'!A:A,'Place Profiles'!C:C,"0")</f>
        <v>11.3310792700061</v>
      </c>
    </row>
    <row r="60" spans="1:10" x14ac:dyDescent="0.45">
      <c r="A60" t="str">
        <v>ID_00059</v>
      </c>
      <c r="B60" t="str">
        <v>1624/05/20</v>
      </c>
      <c r="C60" t="str">
        <v>Villa de Baroncelli</v>
      </c>
      <c r="D60" s="10">
        <f>_xlfn.XLOOKUP(C60,'Place Profiles'!A:A,'Place Profiles'!B:B,"0")</f>
        <v>43.750267171589698</v>
      </c>
      <c r="E60" s="10">
        <f>_xlfn.XLOOKUP(C60,'Place Profiles'!A:A,'Place Profiles'!C:C,"0")</f>
        <v>11.247396239149801</v>
      </c>
      <c r="F60" t="str">
        <v>von Habsburg, Maria Magdalena</v>
      </c>
      <c r="G60" t="str">
        <v>d'Elci, Orso</v>
      </c>
      <c r="H60" t="str" cm="1">
        <f t="array" ref="H60">_xlfn.LET(
_xlpm.t,$G60,
_xlpm.cands,_xlfn._xlws.FILTER('Place Profiles'!$G$2:$G$929,'Place Profiles'!$G$2:$G$929&lt;&gt;""),
_xlpm.counts,COUNTIFS('Raw Data'!$G$2:$G$501,_xlpm.t,'Raw Data'!$F$2:$F$501,_xlpm.cands),
_xlpm.mx,MAX(_xlpm.counts),
IF(_xlpm.mx=0,0,_xlfn.TEXTJOIN(" / ",TRUE,_xlfn._xlws.FILTER(_xlpm.cands,_xlpm.counts=_xlpm.mx)))
)</f>
        <v>Siena</v>
      </c>
      <c r="I60">
        <f>_xlfn.XLOOKUP(H60,'Place Profiles'!A:A,'Place Profiles'!B:B,"0")</f>
        <v>43.3184768539152</v>
      </c>
      <c r="J60">
        <f>_xlfn.XLOOKUP(H60,'Place Profiles'!A:A,'Place Profiles'!C:C,"0")</f>
        <v>11.3310792700061</v>
      </c>
    </row>
    <row r="61" spans="1:10" x14ac:dyDescent="0.45">
      <c r="A61" t="str">
        <v>ID_00060</v>
      </c>
      <c r="B61" t="str">
        <v>1624/04/03</v>
      </c>
      <c r="C61" t="str">
        <v>Pisa</v>
      </c>
      <c r="D61" s="10">
        <f>_xlfn.XLOOKUP(C61,'Place Profiles'!A:A,'Place Profiles'!B:B,"0")</f>
        <v>43.722514463828503</v>
      </c>
      <c r="E61" s="10">
        <f>_xlfn.XLOOKUP(C61,'Place Profiles'!A:A,'Place Profiles'!C:C,"0")</f>
        <v>10.3960522879613</v>
      </c>
      <c r="F61" t="str">
        <v>von Habsburg, Maria Magdalena</v>
      </c>
      <c r="G61" t="str">
        <v>d'Elci, Orso</v>
      </c>
      <c r="H61" t="str" cm="1">
        <f t="array" ref="H61">_xlfn.LET(
_xlpm.t,$G61,
_xlpm.cands,_xlfn._xlws.FILTER('Place Profiles'!$G$2:$G$929,'Place Profiles'!$G$2:$G$929&lt;&gt;""),
_xlpm.counts,COUNTIFS('Raw Data'!$G$2:$G$501,_xlpm.t,'Raw Data'!$F$2:$F$501,_xlpm.cands),
_xlpm.mx,MAX(_xlpm.counts),
IF(_xlpm.mx=0,0,_xlfn.TEXTJOIN(" / ",TRUE,_xlfn._xlws.FILTER(_xlpm.cands,_xlpm.counts=_xlpm.mx)))
)</f>
        <v>Siena</v>
      </c>
      <c r="I61">
        <f>_xlfn.XLOOKUP(H61,'Place Profiles'!A:A,'Place Profiles'!B:B,"0")</f>
        <v>43.3184768539152</v>
      </c>
      <c r="J61">
        <f>_xlfn.XLOOKUP(H61,'Place Profiles'!A:A,'Place Profiles'!C:C,"0")</f>
        <v>11.3310792700061</v>
      </c>
    </row>
    <row r="62" spans="1:10" x14ac:dyDescent="0.45">
      <c r="A62" t="str">
        <v>ID_00061</v>
      </c>
      <c r="B62" t="str">
        <v>1624/03/27</v>
      </c>
      <c r="C62" t="str">
        <v>Livorno</v>
      </c>
      <c r="D62" s="10">
        <f>_xlfn.XLOOKUP(C62,'Place Profiles'!A:A,'Place Profiles'!B:B,"0")</f>
        <v>43.551047066324003</v>
      </c>
      <c r="E62" s="10">
        <f>_xlfn.XLOOKUP(C62,'Place Profiles'!A:A,'Place Profiles'!C:C,"0")</f>
        <v>10.3067361500906</v>
      </c>
      <c r="F62" t="str">
        <v>von Habsburg, Maria Magdalena</v>
      </c>
      <c r="G62" t="str">
        <v>d'Elci, Orso</v>
      </c>
      <c r="H62" t="str" cm="1">
        <f t="array" ref="H62">_xlfn.LET(
_xlpm.t,$G62,
_xlpm.cands,_xlfn._xlws.FILTER('Place Profiles'!$G$2:$G$929,'Place Profiles'!$G$2:$G$929&lt;&gt;""),
_xlpm.counts,COUNTIFS('Raw Data'!$G$2:$G$501,_xlpm.t,'Raw Data'!$F$2:$F$501,_xlpm.cands),
_xlpm.mx,MAX(_xlpm.counts),
IF(_xlpm.mx=0,0,_xlfn.TEXTJOIN(" / ",TRUE,_xlfn._xlws.FILTER(_xlpm.cands,_xlpm.counts=_xlpm.mx)))
)</f>
        <v>Siena</v>
      </c>
      <c r="I62">
        <f>_xlfn.XLOOKUP(H62,'Place Profiles'!A:A,'Place Profiles'!B:B,"0")</f>
        <v>43.3184768539152</v>
      </c>
      <c r="J62">
        <f>_xlfn.XLOOKUP(H62,'Place Profiles'!A:A,'Place Profiles'!C:C,"0")</f>
        <v>11.3310792700061</v>
      </c>
    </row>
    <row r="63" spans="1:10" x14ac:dyDescent="0.45">
      <c r="A63" t="str">
        <v>ID_00062</v>
      </c>
      <c r="B63" t="str">
        <v>1624/03/11</v>
      </c>
      <c r="C63" t="str">
        <v>Pisa</v>
      </c>
      <c r="D63" s="10">
        <f>_xlfn.XLOOKUP(C63,'Place Profiles'!A:A,'Place Profiles'!B:B,"0")</f>
        <v>43.722514463828503</v>
      </c>
      <c r="E63" s="10">
        <f>_xlfn.XLOOKUP(C63,'Place Profiles'!A:A,'Place Profiles'!C:C,"0")</f>
        <v>10.3960522879613</v>
      </c>
      <c r="F63" t="str">
        <v>von Habsburg, Maria Magdalena</v>
      </c>
      <c r="G63" t="str">
        <v>d'Elci, Orso</v>
      </c>
      <c r="H63" t="str" cm="1">
        <f t="array" ref="H63">_xlfn.LET(
_xlpm.t,$G63,
_xlpm.cands,_xlfn._xlws.FILTER('Place Profiles'!$G$2:$G$929,'Place Profiles'!$G$2:$G$929&lt;&gt;""),
_xlpm.counts,COUNTIFS('Raw Data'!$G$2:$G$501,_xlpm.t,'Raw Data'!$F$2:$F$501,_xlpm.cands),
_xlpm.mx,MAX(_xlpm.counts),
IF(_xlpm.mx=0,0,_xlfn.TEXTJOIN(" / ",TRUE,_xlfn._xlws.FILTER(_xlpm.cands,_xlpm.counts=_xlpm.mx)))
)</f>
        <v>Siena</v>
      </c>
      <c r="I63">
        <f>_xlfn.XLOOKUP(H63,'Place Profiles'!A:A,'Place Profiles'!B:B,"0")</f>
        <v>43.3184768539152</v>
      </c>
      <c r="J63">
        <f>_xlfn.XLOOKUP(H63,'Place Profiles'!A:A,'Place Profiles'!C:C,"0")</f>
        <v>11.3310792700061</v>
      </c>
    </row>
    <row r="64" spans="1:10" x14ac:dyDescent="0.45">
      <c r="A64" t="str">
        <v>ID_00063</v>
      </c>
      <c r="B64" t="str">
        <v>1624/05/13</v>
      </c>
      <c r="C64" t="str">
        <v>Villa de Baroncelli</v>
      </c>
      <c r="D64" s="10">
        <f>_xlfn.XLOOKUP(C64,'Place Profiles'!A:A,'Place Profiles'!B:B,"0")</f>
        <v>43.750267171589698</v>
      </c>
      <c r="E64" s="10">
        <f>_xlfn.XLOOKUP(C64,'Place Profiles'!A:A,'Place Profiles'!C:C,"0")</f>
        <v>11.247396239149801</v>
      </c>
      <c r="F64" t="str">
        <v>von Habsburg, Maria Magdalena</v>
      </c>
      <c r="G64" t="str">
        <v>d'Elci, Orso</v>
      </c>
      <c r="H64" t="str" cm="1">
        <f t="array" ref="H64">_xlfn.LET(
_xlpm.t,$G64,
_xlpm.cands,_xlfn._xlws.FILTER('Place Profiles'!$G$2:$G$929,'Place Profiles'!$G$2:$G$929&lt;&gt;""),
_xlpm.counts,COUNTIFS('Raw Data'!$G$2:$G$501,_xlpm.t,'Raw Data'!$F$2:$F$501,_xlpm.cands),
_xlpm.mx,MAX(_xlpm.counts),
IF(_xlpm.mx=0,0,_xlfn.TEXTJOIN(" / ",TRUE,_xlfn._xlws.FILTER(_xlpm.cands,_xlpm.counts=_xlpm.mx)))
)</f>
        <v>Siena</v>
      </c>
      <c r="I64">
        <f>_xlfn.XLOOKUP(H64,'Place Profiles'!A:A,'Place Profiles'!B:B,"0")</f>
        <v>43.3184768539152</v>
      </c>
      <c r="J64">
        <f>_xlfn.XLOOKUP(H64,'Place Profiles'!A:A,'Place Profiles'!C:C,"0")</f>
        <v>11.3310792700061</v>
      </c>
    </row>
    <row r="65" spans="1:10" x14ac:dyDescent="0.45">
      <c r="A65" t="str">
        <v>ID_00064</v>
      </c>
      <c r="B65" t="str">
        <v>1624/04/19</v>
      </c>
      <c r="C65" t="str">
        <v>Serravezza</v>
      </c>
      <c r="D65" s="10">
        <f>_xlfn.XLOOKUP(C65,'Place Profiles'!A:A,'Place Profiles'!B:B,"0")</f>
        <v>43.993970654637302</v>
      </c>
      <c r="E65" s="10">
        <f>_xlfn.XLOOKUP(C65,'Place Profiles'!A:A,'Place Profiles'!C:C,"0")</f>
        <v>10.231949459353601</v>
      </c>
      <c r="F65" t="str">
        <v>von Habsburg, Maria Magdalena</v>
      </c>
      <c r="G65" t="str">
        <v>d'Elci, Orso</v>
      </c>
      <c r="H65" t="str" cm="1">
        <f t="array" ref="H65">_xlfn.LET(
_xlpm.t,$G65,
_xlpm.cands,_xlfn._xlws.FILTER('Place Profiles'!$G$2:$G$929,'Place Profiles'!$G$2:$G$929&lt;&gt;""),
_xlpm.counts,COUNTIFS('Raw Data'!$G$2:$G$501,_xlpm.t,'Raw Data'!$F$2:$F$501,_xlpm.cands),
_xlpm.mx,MAX(_xlpm.counts),
IF(_xlpm.mx=0,0,_xlfn.TEXTJOIN(" / ",TRUE,_xlfn._xlws.FILTER(_xlpm.cands,_xlpm.counts=_xlpm.mx)))
)</f>
        <v>Siena</v>
      </c>
      <c r="I65">
        <f>_xlfn.XLOOKUP(H65,'Place Profiles'!A:A,'Place Profiles'!B:B,"0")</f>
        <v>43.3184768539152</v>
      </c>
      <c r="J65">
        <f>_xlfn.XLOOKUP(H65,'Place Profiles'!A:A,'Place Profiles'!C:C,"0")</f>
        <v>11.3310792700061</v>
      </c>
    </row>
    <row r="66" spans="1:10" x14ac:dyDescent="0.45">
      <c r="A66" t="str">
        <v>ID_00065</v>
      </c>
      <c r="B66" t="str">
        <v>1624/02/18</v>
      </c>
      <c r="C66" t="str">
        <v>Pisa</v>
      </c>
      <c r="D66" s="10">
        <f>_xlfn.XLOOKUP(C66,'Place Profiles'!A:A,'Place Profiles'!B:B,"0")</f>
        <v>43.722514463828503</v>
      </c>
      <c r="E66" s="10">
        <f>_xlfn.XLOOKUP(C66,'Place Profiles'!A:A,'Place Profiles'!C:C,"0")</f>
        <v>10.3960522879613</v>
      </c>
      <c r="F66" t="str">
        <v>von Habsburg, Maria Magdalena</v>
      </c>
      <c r="G66" t="str">
        <v>d'Elci, Orso</v>
      </c>
      <c r="H66" t="str" cm="1">
        <f t="array" ref="H66">_xlfn.LET(
_xlpm.t,$G66,
_xlpm.cands,_xlfn._xlws.FILTER('Place Profiles'!$G$2:$G$929,'Place Profiles'!$G$2:$G$929&lt;&gt;""),
_xlpm.counts,COUNTIFS('Raw Data'!$G$2:$G$501,_xlpm.t,'Raw Data'!$F$2:$F$501,_xlpm.cands),
_xlpm.mx,MAX(_xlpm.counts),
IF(_xlpm.mx=0,0,_xlfn.TEXTJOIN(" / ",TRUE,_xlfn._xlws.FILTER(_xlpm.cands,_xlpm.counts=_xlpm.mx)))
)</f>
        <v>Siena</v>
      </c>
      <c r="I66">
        <f>_xlfn.XLOOKUP(H66,'Place Profiles'!A:A,'Place Profiles'!B:B,"0")</f>
        <v>43.3184768539152</v>
      </c>
      <c r="J66">
        <f>_xlfn.XLOOKUP(H66,'Place Profiles'!A:A,'Place Profiles'!C:C,"0")</f>
        <v>11.3310792700061</v>
      </c>
    </row>
    <row r="67" spans="1:10" x14ac:dyDescent="0.45">
      <c r="A67" t="str">
        <v>ID_00066</v>
      </c>
      <c r="B67" t="str">
        <v>1623/08/21</v>
      </c>
      <c r="C67" t="str">
        <v>Firenze/Fiorenza</v>
      </c>
      <c r="D67" s="10">
        <f>_xlfn.XLOOKUP(C67,'Place Profiles'!A:A,'Place Profiles'!B:B,"0")</f>
        <v>43.773821664204803</v>
      </c>
      <c r="E67" s="10">
        <f>_xlfn.XLOOKUP(C67,'Place Profiles'!A:A,'Place Profiles'!C:C,"0")</f>
        <v>11.2555362617661</v>
      </c>
      <c r="F67" t="str">
        <v>von Habsburg, Maria Magdalena</v>
      </c>
      <c r="G67" t="str">
        <v>d'Elci, Orso</v>
      </c>
      <c r="H67" t="str" cm="1">
        <f t="array" ref="H67">_xlfn.LET(
_xlpm.t,$G67,
_xlpm.cands,_xlfn._xlws.FILTER('Place Profiles'!$G$2:$G$929,'Place Profiles'!$G$2:$G$929&lt;&gt;""),
_xlpm.counts,COUNTIFS('Raw Data'!$G$2:$G$501,_xlpm.t,'Raw Data'!$F$2:$F$501,_xlpm.cands),
_xlpm.mx,MAX(_xlpm.counts),
IF(_xlpm.mx=0,0,_xlfn.TEXTJOIN(" / ",TRUE,_xlfn._xlws.FILTER(_xlpm.cands,_xlpm.counts=_xlpm.mx)))
)</f>
        <v>Siena</v>
      </c>
      <c r="I67">
        <f>_xlfn.XLOOKUP(H67,'Place Profiles'!A:A,'Place Profiles'!B:B,"0")</f>
        <v>43.3184768539152</v>
      </c>
      <c r="J67">
        <f>_xlfn.XLOOKUP(H67,'Place Profiles'!A:A,'Place Profiles'!C:C,"0")</f>
        <v>11.3310792700061</v>
      </c>
    </row>
    <row r="68" spans="1:10" x14ac:dyDescent="0.45">
      <c r="A68" t="str">
        <v>ID_00067</v>
      </c>
      <c r="B68" t="str">
        <v>1624/03/04</v>
      </c>
      <c r="C68" t="str">
        <v>Pisa</v>
      </c>
      <c r="D68" s="10">
        <f>_xlfn.XLOOKUP(C68,'Place Profiles'!A:A,'Place Profiles'!B:B,"0")</f>
        <v>43.722514463828503</v>
      </c>
      <c r="E68" s="10">
        <f>_xlfn.XLOOKUP(C68,'Place Profiles'!A:A,'Place Profiles'!C:C,"0")</f>
        <v>10.3960522879613</v>
      </c>
      <c r="F68" t="str">
        <v>von Habsburg, Maria Magdalena</v>
      </c>
      <c r="G68" t="str">
        <v>d'Elci, Orso</v>
      </c>
      <c r="H68" t="str" cm="1">
        <f t="array" ref="H68">_xlfn.LET(
_xlpm.t,$G68,
_xlpm.cands,_xlfn._xlws.FILTER('Place Profiles'!$G$2:$G$929,'Place Profiles'!$G$2:$G$929&lt;&gt;""),
_xlpm.counts,COUNTIFS('Raw Data'!$G$2:$G$501,_xlpm.t,'Raw Data'!$F$2:$F$501,_xlpm.cands),
_xlpm.mx,MAX(_xlpm.counts),
IF(_xlpm.mx=0,0,_xlfn.TEXTJOIN(" / ",TRUE,_xlfn._xlws.FILTER(_xlpm.cands,_xlpm.counts=_xlpm.mx)))
)</f>
        <v>Siena</v>
      </c>
      <c r="I68">
        <f>_xlfn.XLOOKUP(H68,'Place Profiles'!A:A,'Place Profiles'!B:B,"0")</f>
        <v>43.3184768539152</v>
      </c>
      <c r="J68">
        <f>_xlfn.XLOOKUP(H68,'Place Profiles'!A:A,'Place Profiles'!C:C,"0")</f>
        <v>11.3310792700061</v>
      </c>
    </row>
    <row r="69" spans="1:10" x14ac:dyDescent="0.45">
      <c r="A69" t="str">
        <v>ID_00068</v>
      </c>
      <c r="B69" t="str">
        <v>1624/05/21</v>
      </c>
      <c r="C69" t="str">
        <v>Villa de Baroncelli</v>
      </c>
      <c r="D69" s="10">
        <f>_xlfn.XLOOKUP(C69,'Place Profiles'!A:A,'Place Profiles'!B:B,"0")</f>
        <v>43.750267171589698</v>
      </c>
      <c r="E69" s="10">
        <f>_xlfn.XLOOKUP(C69,'Place Profiles'!A:A,'Place Profiles'!C:C,"0")</f>
        <v>11.247396239149801</v>
      </c>
      <c r="F69" t="str">
        <v>von Habsburg, Maria Magdalena</v>
      </c>
      <c r="G69" t="str">
        <v>d'Elci, Orso</v>
      </c>
      <c r="H69" t="str" cm="1">
        <f t="array" ref="H69">_xlfn.LET(
_xlpm.t,$G69,
_xlpm.cands,_xlfn._xlws.FILTER('Place Profiles'!$G$2:$G$929,'Place Profiles'!$G$2:$G$929&lt;&gt;""),
_xlpm.counts,COUNTIFS('Raw Data'!$G$2:$G$501,_xlpm.t,'Raw Data'!$F$2:$F$501,_xlpm.cands),
_xlpm.mx,MAX(_xlpm.counts),
IF(_xlpm.mx=0,0,_xlfn.TEXTJOIN(" / ",TRUE,_xlfn._xlws.FILTER(_xlpm.cands,_xlpm.counts=_xlpm.mx)))
)</f>
        <v>Siena</v>
      </c>
      <c r="I69">
        <f>_xlfn.XLOOKUP(H69,'Place Profiles'!A:A,'Place Profiles'!B:B,"0")</f>
        <v>43.3184768539152</v>
      </c>
      <c r="J69">
        <f>_xlfn.XLOOKUP(H69,'Place Profiles'!A:A,'Place Profiles'!C:C,"0")</f>
        <v>11.3310792700061</v>
      </c>
    </row>
    <row r="70" spans="1:10" x14ac:dyDescent="0.45">
      <c r="A70" t="str">
        <v>ID_00069</v>
      </c>
      <c r="B70" t="str">
        <v>1624/04/18</v>
      </c>
      <c r="C70" t="str">
        <v>Sertana</v>
      </c>
      <c r="D70" s="10">
        <f>_xlfn.XLOOKUP(C70,'Place Profiles'!A:A,'Place Profiles'!B:B,"0")</f>
        <v>0</v>
      </c>
      <c r="E70" s="10">
        <f>_xlfn.XLOOKUP(C70,'Place Profiles'!A:A,'Place Profiles'!C:C,"0")</f>
        <v>0</v>
      </c>
      <c r="F70" t="str">
        <v>von Habsburg, Maria Magdalena</v>
      </c>
      <c r="G70" t="str">
        <v>d'Elci, Orso</v>
      </c>
      <c r="H70" t="str" cm="1">
        <f t="array" ref="H70">_xlfn.LET(
_xlpm.t,$G70,
_xlpm.cands,_xlfn._xlws.FILTER('Place Profiles'!$G$2:$G$929,'Place Profiles'!$G$2:$G$929&lt;&gt;""),
_xlpm.counts,COUNTIFS('Raw Data'!$G$2:$G$501,_xlpm.t,'Raw Data'!$F$2:$F$501,_xlpm.cands),
_xlpm.mx,MAX(_xlpm.counts),
IF(_xlpm.mx=0,0,_xlfn.TEXTJOIN(" / ",TRUE,_xlfn._xlws.FILTER(_xlpm.cands,_xlpm.counts=_xlpm.mx)))
)</f>
        <v>Siena</v>
      </c>
      <c r="I70">
        <f>_xlfn.XLOOKUP(H70,'Place Profiles'!A:A,'Place Profiles'!B:B,"0")</f>
        <v>43.3184768539152</v>
      </c>
      <c r="J70">
        <f>_xlfn.XLOOKUP(H70,'Place Profiles'!A:A,'Place Profiles'!C:C,"0")</f>
        <v>11.3310792700061</v>
      </c>
    </row>
    <row r="71" spans="1:10" x14ac:dyDescent="0.45">
      <c r="A71" t="str">
        <v>ID_00070</v>
      </c>
      <c r="B71" t="str">
        <v>1624/01/22</v>
      </c>
      <c r="C71" t="str">
        <v>Villa Poggio Imperiale</v>
      </c>
      <c r="D71" s="10">
        <f>_xlfn.XLOOKUP(C71,'Place Profiles'!A:A,'Place Profiles'!B:B,"0")</f>
        <v>43.750267171589698</v>
      </c>
      <c r="E71" s="10">
        <f>_xlfn.XLOOKUP(C71,'Place Profiles'!A:A,'Place Profiles'!C:C,"0")</f>
        <v>11.247396239149801</v>
      </c>
      <c r="F71" t="str">
        <v>von Habsburg, Maria Magdalena</v>
      </c>
      <c r="G71" t="str">
        <v>d'Elci, Orso</v>
      </c>
      <c r="H71" t="str" cm="1">
        <f t="array" ref="H71">_xlfn.LET(
_xlpm.t,$G71,
_xlpm.cands,_xlfn._xlws.FILTER('Place Profiles'!$G$2:$G$929,'Place Profiles'!$G$2:$G$929&lt;&gt;""),
_xlpm.counts,COUNTIFS('Raw Data'!$G$2:$G$501,_xlpm.t,'Raw Data'!$F$2:$F$501,_xlpm.cands),
_xlpm.mx,MAX(_xlpm.counts),
IF(_xlpm.mx=0,0,_xlfn.TEXTJOIN(" / ",TRUE,_xlfn._xlws.FILTER(_xlpm.cands,_xlpm.counts=_xlpm.mx)))
)</f>
        <v>Siena</v>
      </c>
      <c r="I71">
        <f>_xlfn.XLOOKUP(H71,'Place Profiles'!A:A,'Place Profiles'!B:B,"0")</f>
        <v>43.3184768539152</v>
      </c>
      <c r="J71">
        <f>_xlfn.XLOOKUP(H71,'Place Profiles'!A:A,'Place Profiles'!C:C,"0")</f>
        <v>11.3310792700061</v>
      </c>
    </row>
    <row r="72" spans="1:10" x14ac:dyDescent="0.45">
      <c r="A72" t="str">
        <v>ID_00071</v>
      </c>
      <c r="B72" t="str">
        <v>1624/01/22</v>
      </c>
      <c r="C72" t="str">
        <v>Villa Poggio Imperiale</v>
      </c>
      <c r="D72" s="10">
        <f>_xlfn.XLOOKUP(C72,'Place Profiles'!A:A,'Place Profiles'!B:B,"0")</f>
        <v>43.750267171589698</v>
      </c>
      <c r="E72" s="10">
        <f>_xlfn.XLOOKUP(C72,'Place Profiles'!A:A,'Place Profiles'!C:C,"0")</f>
        <v>11.247396239149801</v>
      </c>
      <c r="F72" t="str">
        <v>von Habsburg, Maria Magdalena</v>
      </c>
      <c r="G72" t="str">
        <v>d'Elci, Orso</v>
      </c>
      <c r="H72" t="str" cm="1">
        <f t="array" ref="H72">_xlfn.LET(
_xlpm.t,$G72,
_xlpm.cands,_xlfn._xlws.FILTER('Place Profiles'!$G$2:$G$929,'Place Profiles'!$G$2:$G$929&lt;&gt;""),
_xlpm.counts,COUNTIFS('Raw Data'!$G$2:$G$501,_xlpm.t,'Raw Data'!$F$2:$F$501,_xlpm.cands),
_xlpm.mx,MAX(_xlpm.counts),
IF(_xlpm.mx=0,0,_xlfn.TEXTJOIN(" / ",TRUE,_xlfn._xlws.FILTER(_xlpm.cands,_xlpm.counts=_xlpm.mx)))
)</f>
        <v>Siena</v>
      </c>
      <c r="I72">
        <f>_xlfn.XLOOKUP(H72,'Place Profiles'!A:A,'Place Profiles'!B:B,"0")</f>
        <v>43.3184768539152</v>
      </c>
      <c r="J72">
        <f>_xlfn.XLOOKUP(H72,'Place Profiles'!A:A,'Place Profiles'!C:C,"0")</f>
        <v>11.3310792700061</v>
      </c>
    </row>
    <row r="73" spans="1:10" x14ac:dyDescent="0.45">
      <c r="A73" t="str">
        <v>ID_00072</v>
      </c>
      <c r="B73" t="str">
        <v>1624/03/29</v>
      </c>
      <c r="C73" t="str">
        <v>Livorno</v>
      </c>
      <c r="D73" s="10">
        <f>_xlfn.XLOOKUP(C73,'Place Profiles'!A:A,'Place Profiles'!B:B,"0")</f>
        <v>43.551047066324003</v>
      </c>
      <c r="E73" s="10">
        <f>_xlfn.XLOOKUP(C73,'Place Profiles'!A:A,'Place Profiles'!C:C,"0")</f>
        <v>10.3067361500906</v>
      </c>
      <c r="F73" t="str">
        <v>von Habsburg, Maria Magdalena</v>
      </c>
      <c r="G73" t="str">
        <v>d'Elci, Orso</v>
      </c>
      <c r="H73" t="str" cm="1">
        <f t="array" ref="H73">_xlfn.LET(
_xlpm.t,$G73,
_xlpm.cands,_xlfn._xlws.FILTER('Place Profiles'!$G$2:$G$929,'Place Profiles'!$G$2:$G$929&lt;&gt;""),
_xlpm.counts,COUNTIFS('Raw Data'!$G$2:$G$501,_xlpm.t,'Raw Data'!$F$2:$F$501,_xlpm.cands),
_xlpm.mx,MAX(_xlpm.counts),
IF(_xlpm.mx=0,0,_xlfn.TEXTJOIN(" / ",TRUE,_xlfn._xlws.FILTER(_xlpm.cands,_xlpm.counts=_xlpm.mx)))
)</f>
        <v>Siena</v>
      </c>
      <c r="I73">
        <f>_xlfn.XLOOKUP(H73,'Place Profiles'!A:A,'Place Profiles'!B:B,"0")</f>
        <v>43.3184768539152</v>
      </c>
      <c r="J73">
        <f>_xlfn.XLOOKUP(H73,'Place Profiles'!A:A,'Place Profiles'!C:C,"0")</f>
        <v>11.3310792700061</v>
      </c>
    </row>
    <row r="74" spans="1:10" x14ac:dyDescent="0.45">
      <c r="A74" t="str">
        <v>ID_00073</v>
      </c>
      <c r="B74" t="str">
        <v>1624/03/22</v>
      </c>
      <c r="C74" t="str">
        <v>Livorno</v>
      </c>
      <c r="D74" s="10">
        <f>_xlfn.XLOOKUP(C74,'Place Profiles'!A:A,'Place Profiles'!B:B,"0")</f>
        <v>43.551047066324003</v>
      </c>
      <c r="E74" s="10">
        <f>_xlfn.XLOOKUP(C74,'Place Profiles'!A:A,'Place Profiles'!C:C,"0")</f>
        <v>10.3067361500906</v>
      </c>
      <c r="F74" t="str">
        <v>von Habsburg, Maria Magdalena</v>
      </c>
      <c r="G74" t="str">
        <v>d'Elci, Orso</v>
      </c>
      <c r="H74" t="str" cm="1">
        <f t="array" ref="H74">_xlfn.LET(
_xlpm.t,$G74,
_xlpm.cands,_xlfn._xlws.FILTER('Place Profiles'!$G$2:$G$929,'Place Profiles'!$G$2:$G$929&lt;&gt;""),
_xlpm.counts,COUNTIFS('Raw Data'!$G$2:$G$501,_xlpm.t,'Raw Data'!$F$2:$F$501,_xlpm.cands),
_xlpm.mx,MAX(_xlpm.counts),
IF(_xlpm.mx=0,0,_xlfn.TEXTJOIN(" / ",TRUE,_xlfn._xlws.FILTER(_xlpm.cands,_xlpm.counts=_xlpm.mx)))
)</f>
        <v>Siena</v>
      </c>
      <c r="I74">
        <f>_xlfn.XLOOKUP(H74,'Place Profiles'!A:A,'Place Profiles'!B:B,"0")</f>
        <v>43.3184768539152</v>
      </c>
      <c r="J74">
        <f>_xlfn.XLOOKUP(H74,'Place Profiles'!A:A,'Place Profiles'!C:C,"0")</f>
        <v>11.3310792700061</v>
      </c>
    </row>
    <row r="75" spans="1:10" x14ac:dyDescent="0.45">
      <c r="A75" t="str">
        <v>ID_00074</v>
      </c>
      <c r="B75" t="str">
        <v>1623/07/16</v>
      </c>
      <c r="C75" t="str">
        <v>Firenze/Fiorenza</v>
      </c>
      <c r="D75" s="10">
        <f>_xlfn.XLOOKUP(C75,'Place Profiles'!A:A,'Place Profiles'!B:B,"0")</f>
        <v>43.773821664204803</v>
      </c>
      <c r="E75" s="10">
        <f>_xlfn.XLOOKUP(C75,'Place Profiles'!A:A,'Place Profiles'!C:C,"0")</f>
        <v>11.2555362617661</v>
      </c>
      <c r="F75" t="str">
        <v>von Habsburg, Maria Magdalena</v>
      </c>
      <c r="G75" t="str">
        <v>de' Medici, Carlo</v>
      </c>
      <c r="H75" t="str" cm="1">
        <f t="array" ref="H75">_xlfn.LET(
_xlpm.t,$G75,
_xlpm.cands,_xlfn._xlws.FILTER('Place Profiles'!$G$2:$G$929,'Place Profiles'!$G$2:$G$929&lt;&gt;""),
_xlpm.counts,COUNTIFS('Raw Data'!$G$2:$G$501,_xlpm.t,'Raw Data'!$F$2:$F$501,_xlpm.cands),
_xlpm.mx,MAX(_xlpm.counts),
IF(_xlpm.mx=0,0,_xlfn.TEXTJOIN(" / ",TRUE,_xlfn._xlws.FILTER(_xlpm.cands,_xlpm.counts=_xlpm.mx)))
)</f>
        <v>Firenze/Fiorenza</v>
      </c>
      <c r="I75">
        <f>_xlfn.XLOOKUP(H75,'Place Profiles'!A:A,'Place Profiles'!B:B,"0")</f>
        <v>43.773821664204803</v>
      </c>
      <c r="J75">
        <f>_xlfn.XLOOKUP(H75,'Place Profiles'!A:A,'Place Profiles'!C:C,"0")</f>
        <v>11.2555362617661</v>
      </c>
    </row>
    <row r="76" spans="1:10" x14ac:dyDescent="0.45">
      <c r="A76" t="str">
        <v>ID_00075</v>
      </c>
      <c r="B76" t="str">
        <v>1623/07/13</v>
      </c>
      <c r="C76" t="str">
        <v>Firenze/Fiorenza</v>
      </c>
      <c r="D76" s="10">
        <f>_xlfn.XLOOKUP(C76,'Place Profiles'!A:A,'Place Profiles'!B:B,"0")</f>
        <v>43.773821664204803</v>
      </c>
      <c r="E76" s="10">
        <f>_xlfn.XLOOKUP(C76,'Place Profiles'!A:A,'Place Profiles'!C:C,"0")</f>
        <v>11.2555362617661</v>
      </c>
      <c r="F76" t="str">
        <v>von Habsburg, Maria Magdalena</v>
      </c>
      <c r="G76" t="str">
        <v>d'Elci, Orso</v>
      </c>
      <c r="H76" t="str" cm="1">
        <f t="array" ref="H76">_xlfn.LET(
_xlpm.t,$G76,
_xlpm.cands,_xlfn._xlws.FILTER('Place Profiles'!$G$2:$G$929,'Place Profiles'!$G$2:$G$929&lt;&gt;""),
_xlpm.counts,COUNTIFS('Raw Data'!$G$2:$G$501,_xlpm.t,'Raw Data'!$F$2:$F$501,_xlpm.cands),
_xlpm.mx,MAX(_xlpm.counts),
IF(_xlpm.mx=0,0,_xlfn.TEXTJOIN(" / ",TRUE,_xlfn._xlws.FILTER(_xlpm.cands,_xlpm.counts=_xlpm.mx)))
)</f>
        <v>Siena</v>
      </c>
      <c r="I76">
        <f>_xlfn.XLOOKUP(H76,'Place Profiles'!A:A,'Place Profiles'!B:B,"0")</f>
        <v>43.3184768539152</v>
      </c>
      <c r="J76">
        <f>_xlfn.XLOOKUP(H76,'Place Profiles'!A:A,'Place Profiles'!C:C,"0")</f>
        <v>11.3310792700061</v>
      </c>
    </row>
    <row r="77" spans="1:10" x14ac:dyDescent="0.45">
      <c r="A77" t="str">
        <v>ID_00076</v>
      </c>
      <c r="B77" t="str">
        <v>1623/11/07</v>
      </c>
      <c r="C77" t="str">
        <v>Firenze/Fiorenza</v>
      </c>
      <c r="D77" s="10">
        <f>_xlfn.XLOOKUP(C77,'Place Profiles'!A:A,'Place Profiles'!B:B,"0")</f>
        <v>43.773821664204803</v>
      </c>
      <c r="E77" s="10">
        <f>_xlfn.XLOOKUP(C77,'Place Profiles'!A:A,'Place Profiles'!C:C,"0")</f>
        <v>11.2555362617661</v>
      </c>
      <c r="F77" t="str">
        <v>von Habsburg, Maria Magdalena</v>
      </c>
      <c r="G77" t="str">
        <v>d'Elci, Orso</v>
      </c>
      <c r="H77" t="str" cm="1">
        <f t="array" ref="H77">_xlfn.LET(
_xlpm.t,$G77,
_xlpm.cands,_xlfn._xlws.FILTER('Place Profiles'!$G$2:$G$929,'Place Profiles'!$G$2:$G$929&lt;&gt;""),
_xlpm.counts,COUNTIFS('Raw Data'!$G$2:$G$501,_xlpm.t,'Raw Data'!$F$2:$F$501,_xlpm.cands),
_xlpm.mx,MAX(_xlpm.counts),
IF(_xlpm.mx=0,0,_xlfn.TEXTJOIN(" / ",TRUE,_xlfn._xlws.FILTER(_xlpm.cands,_xlpm.counts=_xlpm.mx)))
)</f>
        <v>Siena</v>
      </c>
      <c r="I77">
        <f>_xlfn.XLOOKUP(H77,'Place Profiles'!A:A,'Place Profiles'!B:B,"0")</f>
        <v>43.3184768539152</v>
      </c>
      <c r="J77">
        <f>_xlfn.XLOOKUP(H77,'Place Profiles'!A:A,'Place Profiles'!C:C,"0")</f>
        <v>11.3310792700061</v>
      </c>
    </row>
    <row r="78" spans="1:10" x14ac:dyDescent="0.45">
      <c r="A78" t="str">
        <v>ID_00077</v>
      </c>
      <c r="B78" t="str">
        <v>1623/01/03</v>
      </c>
      <c r="C78" t="str">
        <v>Firenze/Fiorenza</v>
      </c>
      <c r="D78" s="10">
        <f>_xlfn.XLOOKUP(C78,'Place Profiles'!A:A,'Place Profiles'!B:B,"0")</f>
        <v>43.773821664204803</v>
      </c>
      <c r="E78" s="10">
        <f>_xlfn.XLOOKUP(C78,'Place Profiles'!A:A,'Place Profiles'!C:C,"0")</f>
        <v>11.2555362617661</v>
      </c>
      <c r="F78" t="str">
        <v>von Habsburg, Maria Magdalena</v>
      </c>
      <c r="G78" t="str">
        <v>d'Elci, Orso</v>
      </c>
      <c r="H78" t="str" cm="1">
        <f t="array" ref="H78">_xlfn.LET(
_xlpm.t,$G78,
_xlpm.cands,_xlfn._xlws.FILTER('Place Profiles'!$G$2:$G$929,'Place Profiles'!$G$2:$G$929&lt;&gt;""),
_xlpm.counts,COUNTIFS('Raw Data'!$G$2:$G$501,_xlpm.t,'Raw Data'!$F$2:$F$501,_xlpm.cands),
_xlpm.mx,MAX(_xlpm.counts),
IF(_xlpm.mx=0,0,_xlfn.TEXTJOIN(" / ",TRUE,_xlfn._xlws.FILTER(_xlpm.cands,_xlpm.counts=_xlpm.mx)))
)</f>
        <v>Siena</v>
      </c>
      <c r="I78">
        <f>_xlfn.XLOOKUP(H78,'Place Profiles'!A:A,'Place Profiles'!B:B,"0")</f>
        <v>43.3184768539152</v>
      </c>
      <c r="J78">
        <f>_xlfn.XLOOKUP(H78,'Place Profiles'!A:A,'Place Profiles'!C:C,"0")</f>
        <v>11.3310792700061</v>
      </c>
    </row>
    <row r="79" spans="1:10" x14ac:dyDescent="0.45">
      <c r="A79" t="str">
        <v>ID_00078</v>
      </c>
      <c r="B79" t="str">
        <v>1623/08/14</v>
      </c>
      <c r="C79" t="str">
        <v>Firenze/Fiorenza</v>
      </c>
      <c r="D79" s="10">
        <f>_xlfn.XLOOKUP(C79,'Place Profiles'!A:A,'Place Profiles'!B:B,"0")</f>
        <v>43.773821664204803</v>
      </c>
      <c r="E79" s="10">
        <f>_xlfn.XLOOKUP(C79,'Place Profiles'!A:A,'Place Profiles'!C:C,"0")</f>
        <v>11.2555362617661</v>
      </c>
      <c r="F79" t="str">
        <v>von Habsburg, Maria Magdalena</v>
      </c>
      <c r="G79" t="str">
        <v>d'Elci, Orso</v>
      </c>
      <c r="H79" t="str" cm="1">
        <f t="array" ref="H79">_xlfn.LET(
_xlpm.t,$G79,
_xlpm.cands,_xlfn._xlws.FILTER('Place Profiles'!$G$2:$G$929,'Place Profiles'!$G$2:$G$929&lt;&gt;""),
_xlpm.counts,COUNTIFS('Raw Data'!$G$2:$G$501,_xlpm.t,'Raw Data'!$F$2:$F$501,_xlpm.cands),
_xlpm.mx,MAX(_xlpm.counts),
IF(_xlpm.mx=0,0,_xlfn.TEXTJOIN(" / ",TRUE,_xlfn._xlws.FILTER(_xlpm.cands,_xlpm.counts=_xlpm.mx)))
)</f>
        <v>Siena</v>
      </c>
      <c r="I79">
        <f>_xlfn.XLOOKUP(H79,'Place Profiles'!A:A,'Place Profiles'!B:B,"0")</f>
        <v>43.3184768539152</v>
      </c>
      <c r="J79">
        <f>_xlfn.XLOOKUP(H79,'Place Profiles'!A:A,'Place Profiles'!C:C,"0")</f>
        <v>11.3310792700061</v>
      </c>
    </row>
    <row r="80" spans="1:10" x14ac:dyDescent="0.45">
      <c r="A80" t="str">
        <v>ID_00079</v>
      </c>
      <c r="B80" t="str">
        <v>1623/07/23</v>
      </c>
      <c r="C80" t="str">
        <v>Firenze/Fiorenza</v>
      </c>
      <c r="D80" s="10">
        <f>_xlfn.XLOOKUP(C80,'Place Profiles'!A:A,'Place Profiles'!B:B,"0")</f>
        <v>43.773821664204803</v>
      </c>
      <c r="E80" s="10">
        <f>_xlfn.XLOOKUP(C80,'Place Profiles'!A:A,'Place Profiles'!C:C,"0")</f>
        <v>11.2555362617661</v>
      </c>
      <c r="F80" t="str">
        <v>von Habsburg, Maria Magdalena</v>
      </c>
      <c r="G80" t="str">
        <v>d'Elci, Orso</v>
      </c>
      <c r="H80" t="str" cm="1">
        <f t="array" ref="H80">_xlfn.LET(
_xlpm.t,$G80,
_xlpm.cands,_xlfn._xlws.FILTER('Place Profiles'!$G$2:$G$929,'Place Profiles'!$G$2:$G$929&lt;&gt;""),
_xlpm.counts,COUNTIFS('Raw Data'!$G$2:$G$501,_xlpm.t,'Raw Data'!$F$2:$F$501,_xlpm.cands),
_xlpm.mx,MAX(_xlpm.counts),
IF(_xlpm.mx=0,0,_xlfn.TEXTJOIN(" / ",TRUE,_xlfn._xlws.FILTER(_xlpm.cands,_xlpm.counts=_xlpm.mx)))
)</f>
        <v>Siena</v>
      </c>
      <c r="I80">
        <f>_xlfn.XLOOKUP(H80,'Place Profiles'!A:A,'Place Profiles'!B:B,"0")</f>
        <v>43.3184768539152</v>
      </c>
      <c r="J80">
        <f>_xlfn.XLOOKUP(H80,'Place Profiles'!A:A,'Place Profiles'!C:C,"0")</f>
        <v>11.3310792700061</v>
      </c>
    </row>
    <row r="81" spans="1:10" x14ac:dyDescent="0.45">
      <c r="A81" t="str">
        <v>ID_00080</v>
      </c>
      <c r="B81" t="str">
        <v>1623/00/27</v>
      </c>
      <c r="C81" t="str">
        <v>Firenze/Fiorenza</v>
      </c>
      <c r="D81" s="10">
        <f>_xlfn.XLOOKUP(C81,'Place Profiles'!A:A,'Place Profiles'!B:B,"0")</f>
        <v>43.773821664204803</v>
      </c>
      <c r="E81" s="10">
        <f>_xlfn.XLOOKUP(C81,'Place Profiles'!A:A,'Place Profiles'!C:C,"0")</f>
        <v>11.2555362617661</v>
      </c>
      <c r="F81" t="str">
        <v>von Habsburg, Maria Magdalena</v>
      </c>
      <c r="G81" t="str">
        <v>d'Elci, Orso</v>
      </c>
      <c r="H81" t="str" cm="1">
        <f t="array" ref="H81">_xlfn.LET(
_xlpm.t,$G81,
_xlpm.cands,_xlfn._xlws.FILTER('Place Profiles'!$G$2:$G$929,'Place Profiles'!$G$2:$G$929&lt;&gt;""),
_xlpm.counts,COUNTIFS('Raw Data'!$G$2:$G$501,_xlpm.t,'Raw Data'!$F$2:$F$501,_xlpm.cands),
_xlpm.mx,MAX(_xlpm.counts),
IF(_xlpm.mx=0,0,_xlfn.TEXTJOIN(" / ",TRUE,_xlfn._xlws.FILTER(_xlpm.cands,_xlpm.counts=_xlpm.mx)))
)</f>
        <v>Siena</v>
      </c>
      <c r="I81">
        <f>_xlfn.XLOOKUP(H81,'Place Profiles'!A:A,'Place Profiles'!B:B,"0")</f>
        <v>43.3184768539152</v>
      </c>
      <c r="J81">
        <f>_xlfn.XLOOKUP(H81,'Place Profiles'!A:A,'Place Profiles'!C:C,"0")</f>
        <v>11.3310792700061</v>
      </c>
    </row>
    <row r="82" spans="1:10" x14ac:dyDescent="0.45">
      <c r="A82" t="str">
        <v>ID_00081</v>
      </c>
      <c r="B82" t="str">
        <v>1623/08/08</v>
      </c>
      <c r="C82" t="str">
        <v>Firenze/Fiorenza</v>
      </c>
      <c r="D82" s="10">
        <f>_xlfn.XLOOKUP(C82,'Place Profiles'!A:A,'Place Profiles'!B:B,"0")</f>
        <v>43.773821664204803</v>
      </c>
      <c r="E82" s="10">
        <f>_xlfn.XLOOKUP(C82,'Place Profiles'!A:A,'Place Profiles'!C:C,"0")</f>
        <v>11.2555362617661</v>
      </c>
      <c r="F82" t="str">
        <v>von Habsburg, Maria Magdalena</v>
      </c>
      <c r="G82" t="str">
        <v>d'Elci, Orso</v>
      </c>
      <c r="H82" t="str" cm="1">
        <f t="array" ref="H82">_xlfn.LET(
_xlpm.t,$G82,
_xlpm.cands,_xlfn._xlws.FILTER('Place Profiles'!$G$2:$G$929,'Place Profiles'!$G$2:$G$929&lt;&gt;""),
_xlpm.counts,COUNTIFS('Raw Data'!$G$2:$G$501,_xlpm.t,'Raw Data'!$F$2:$F$501,_xlpm.cands),
_xlpm.mx,MAX(_xlpm.counts),
IF(_xlpm.mx=0,0,_xlfn.TEXTJOIN(" / ",TRUE,_xlfn._xlws.FILTER(_xlpm.cands,_xlpm.counts=_xlpm.mx)))
)</f>
        <v>Siena</v>
      </c>
      <c r="I82">
        <f>_xlfn.XLOOKUP(H82,'Place Profiles'!A:A,'Place Profiles'!B:B,"0")</f>
        <v>43.3184768539152</v>
      </c>
      <c r="J82">
        <f>_xlfn.XLOOKUP(H82,'Place Profiles'!A:A,'Place Profiles'!C:C,"0")</f>
        <v>11.3310792700061</v>
      </c>
    </row>
    <row r="83" spans="1:10" x14ac:dyDescent="0.45">
      <c r="A83" t="str">
        <v>ID_00082</v>
      </c>
      <c r="B83" t="str">
        <v>1623/12/28</v>
      </c>
      <c r="C83" t="str">
        <v>Firenze/Fiorenza</v>
      </c>
      <c r="D83" s="10">
        <f>_xlfn.XLOOKUP(C83,'Place Profiles'!A:A,'Place Profiles'!B:B,"0")</f>
        <v>43.773821664204803</v>
      </c>
      <c r="E83" s="10">
        <f>_xlfn.XLOOKUP(C83,'Place Profiles'!A:A,'Place Profiles'!C:C,"0")</f>
        <v>11.2555362617661</v>
      </c>
      <c r="F83" t="str">
        <v>von Habsburg, Maria Magdalena</v>
      </c>
      <c r="G83" t="str">
        <v>d'Elci, Orso</v>
      </c>
      <c r="H83" t="str" cm="1">
        <f t="array" ref="H83">_xlfn.LET(
_xlpm.t,$G83,
_xlpm.cands,_xlfn._xlws.FILTER('Place Profiles'!$G$2:$G$929,'Place Profiles'!$G$2:$G$929&lt;&gt;""),
_xlpm.counts,COUNTIFS('Raw Data'!$G$2:$G$501,_xlpm.t,'Raw Data'!$F$2:$F$501,_xlpm.cands),
_xlpm.mx,MAX(_xlpm.counts),
IF(_xlpm.mx=0,0,_xlfn.TEXTJOIN(" / ",TRUE,_xlfn._xlws.FILTER(_xlpm.cands,_xlpm.counts=_xlpm.mx)))
)</f>
        <v>Siena</v>
      </c>
      <c r="I83">
        <f>_xlfn.XLOOKUP(H83,'Place Profiles'!A:A,'Place Profiles'!B:B,"0")</f>
        <v>43.3184768539152</v>
      </c>
      <c r="J83">
        <f>_xlfn.XLOOKUP(H83,'Place Profiles'!A:A,'Place Profiles'!C:C,"0")</f>
        <v>11.3310792700061</v>
      </c>
    </row>
    <row r="84" spans="1:10" x14ac:dyDescent="0.45">
      <c r="A84" t="str">
        <v>ID_00083</v>
      </c>
      <c r="B84" t="str">
        <v>1623/01/10</v>
      </c>
      <c r="C84" t="str">
        <v>Villa Poggio Imperiale</v>
      </c>
      <c r="D84" s="10">
        <f>_xlfn.XLOOKUP(C84,'Place Profiles'!A:A,'Place Profiles'!B:B,"0")</f>
        <v>43.750267171589698</v>
      </c>
      <c r="E84" s="10">
        <f>_xlfn.XLOOKUP(C84,'Place Profiles'!A:A,'Place Profiles'!C:C,"0")</f>
        <v>11.247396239149801</v>
      </c>
      <c r="F84" t="str">
        <v>von Habsburg, Maria Magdalena</v>
      </c>
      <c r="G84" t="str">
        <v>d'Elci, Orso</v>
      </c>
      <c r="H84" t="str" cm="1">
        <f t="array" ref="H84">_xlfn.LET(
_xlpm.t,$G84,
_xlpm.cands,_xlfn._xlws.FILTER('Place Profiles'!$G$2:$G$929,'Place Profiles'!$G$2:$G$929&lt;&gt;""),
_xlpm.counts,COUNTIFS('Raw Data'!$G$2:$G$501,_xlpm.t,'Raw Data'!$F$2:$F$501,_xlpm.cands),
_xlpm.mx,MAX(_xlpm.counts),
IF(_xlpm.mx=0,0,_xlfn.TEXTJOIN(" / ",TRUE,_xlfn._xlws.FILTER(_xlpm.cands,_xlpm.counts=_xlpm.mx)))
)</f>
        <v>Siena</v>
      </c>
      <c r="I84">
        <f>_xlfn.XLOOKUP(H84,'Place Profiles'!A:A,'Place Profiles'!B:B,"0")</f>
        <v>43.3184768539152</v>
      </c>
      <c r="J84">
        <f>_xlfn.XLOOKUP(H84,'Place Profiles'!A:A,'Place Profiles'!C:C,"0")</f>
        <v>11.3310792700061</v>
      </c>
    </row>
    <row r="85" spans="1:10" x14ac:dyDescent="0.45">
      <c r="A85" t="str">
        <v>ID_00084</v>
      </c>
      <c r="B85" t="str">
        <v>1623/12/12</v>
      </c>
      <c r="C85" t="str">
        <v>Firenze/Fiorenza</v>
      </c>
      <c r="D85" s="10">
        <f>_xlfn.XLOOKUP(C85,'Place Profiles'!A:A,'Place Profiles'!B:B,"0")</f>
        <v>43.773821664204803</v>
      </c>
      <c r="E85" s="10">
        <f>_xlfn.XLOOKUP(C85,'Place Profiles'!A:A,'Place Profiles'!C:C,"0")</f>
        <v>11.2555362617661</v>
      </c>
      <c r="F85" t="str">
        <v>von Habsburg, Maria Magdalena</v>
      </c>
      <c r="G85" t="str">
        <v>d'Elci, Orso</v>
      </c>
      <c r="H85" t="str" cm="1">
        <f t="array" ref="H85">_xlfn.LET(
_xlpm.t,$G85,
_xlpm.cands,_xlfn._xlws.FILTER('Place Profiles'!$G$2:$G$929,'Place Profiles'!$G$2:$G$929&lt;&gt;""),
_xlpm.counts,COUNTIFS('Raw Data'!$G$2:$G$501,_xlpm.t,'Raw Data'!$F$2:$F$501,_xlpm.cands),
_xlpm.mx,MAX(_xlpm.counts),
IF(_xlpm.mx=0,0,_xlfn.TEXTJOIN(" / ",TRUE,_xlfn._xlws.FILTER(_xlpm.cands,_xlpm.counts=_xlpm.mx)))
)</f>
        <v>Siena</v>
      </c>
      <c r="I85">
        <f>_xlfn.XLOOKUP(H85,'Place Profiles'!A:A,'Place Profiles'!B:B,"0")</f>
        <v>43.3184768539152</v>
      </c>
      <c r="J85">
        <f>_xlfn.XLOOKUP(H85,'Place Profiles'!A:A,'Place Profiles'!C:C,"0")</f>
        <v>11.3310792700061</v>
      </c>
    </row>
    <row r="86" spans="1:10" x14ac:dyDescent="0.45">
      <c r="A86" t="str">
        <v>ID_00085</v>
      </c>
      <c r="B86" t="str">
        <v>1623/07/29</v>
      </c>
      <c r="C86" t="str">
        <v>Firenze/Fiorenza</v>
      </c>
      <c r="D86" s="10">
        <f>_xlfn.XLOOKUP(C86,'Place Profiles'!A:A,'Place Profiles'!B:B,"0")</f>
        <v>43.773821664204803</v>
      </c>
      <c r="E86" s="10">
        <f>_xlfn.XLOOKUP(C86,'Place Profiles'!A:A,'Place Profiles'!C:C,"0")</f>
        <v>11.2555362617661</v>
      </c>
      <c r="F86" t="str">
        <v>von Habsburg, Maria Magdalena</v>
      </c>
      <c r="G86" t="str">
        <v>d'Elci, Orso</v>
      </c>
      <c r="H86" t="str" cm="1">
        <f t="array" ref="H86">_xlfn.LET(
_xlpm.t,$G86,
_xlpm.cands,_xlfn._xlws.FILTER('Place Profiles'!$G$2:$G$929,'Place Profiles'!$G$2:$G$929&lt;&gt;""),
_xlpm.counts,COUNTIFS('Raw Data'!$G$2:$G$501,_xlpm.t,'Raw Data'!$F$2:$F$501,_xlpm.cands),
_xlpm.mx,MAX(_xlpm.counts),
IF(_xlpm.mx=0,0,_xlfn.TEXTJOIN(" / ",TRUE,_xlfn._xlws.FILTER(_xlpm.cands,_xlpm.counts=_xlpm.mx)))
)</f>
        <v>Siena</v>
      </c>
      <c r="I86">
        <f>_xlfn.XLOOKUP(H86,'Place Profiles'!A:A,'Place Profiles'!B:B,"0")</f>
        <v>43.3184768539152</v>
      </c>
      <c r="J86">
        <f>_xlfn.XLOOKUP(H86,'Place Profiles'!A:A,'Place Profiles'!C:C,"0")</f>
        <v>11.3310792700061</v>
      </c>
    </row>
    <row r="87" spans="1:10" x14ac:dyDescent="0.45">
      <c r="A87" t="str">
        <v>ID_00086</v>
      </c>
      <c r="B87" t="str">
        <v>1623/01/23</v>
      </c>
      <c r="C87" t="str">
        <v>Firenze/Fiorenza</v>
      </c>
      <c r="D87" s="10">
        <f>_xlfn.XLOOKUP(C87,'Place Profiles'!A:A,'Place Profiles'!B:B,"0")</f>
        <v>43.773821664204803</v>
      </c>
      <c r="E87" s="10">
        <f>_xlfn.XLOOKUP(C87,'Place Profiles'!A:A,'Place Profiles'!C:C,"0")</f>
        <v>11.2555362617661</v>
      </c>
      <c r="F87" t="str">
        <v>von Habsburg, Maria Magdalena</v>
      </c>
      <c r="G87" t="str">
        <v>d'Elci, Orso</v>
      </c>
      <c r="H87" t="str" cm="1">
        <f t="array" ref="H87">_xlfn.LET(
_xlpm.t,$G87,
_xlpm.cands,_xlfn._xlws.FILTER('Place Profiles'!$G$2:$G$929,'Place Profiles'!$G$2:$G$929&lt;&gt;""),
_xlpm.counts,COUNTIFS('Raw Data'!$G$2:$G$501,_xlpm.t,'Raw Data'!$F$2:$F$501,_xlpm.cands),
_xlpm.mx,MAX(_xlpm.counts),
IF(_xlpm.mx=0,0,_xlfn.TEXTJOIN(" / ",TRUE,_xlfn._xlws.FILTER(_xlpm.cands,_xlpm.counts=_xlpm.mx)))
)</f>
        <v>Siena</v>
      </c>
      <c r="I87">
        <f>_xlfn.XLOOKUP(H87,'Place Profiles'!A:A,'Place Profiles'!B:B,"0")</f>
        <v>43.3184768539152</v>
      </c>
      <c r="J87">
        <f>_xlfn.XLOOKUP(H87,'Place Profiles'!A:A,'Place Profiles'!C:C,"0")</f>
        <v>11.3310792700061</v>
      </c>
    </row>
    <row r="88" spans="1:10" x14ac:dyDescent="0.45">
      <c r="A88" t="str">
        <v>ID_00087</v>
      </c>
      <c r="B88" t="str">
        <v>1623/07/05</v>
      </c>
      <c r="C88" t="str">
        <v>Illegible</v>
      </c>
      <c r="D88" s="10">
        <f>_xlfn.XLOOKUP(C88,'Place Profiles'!A:A,'Place Profiles'!B:B,"0")</f>
        <v>0</v>
      </c>
      <c r="E88" s="10">
        <f>_xlfn.XLOOKUP(C88,'Place Profiles'!A:A,'Place Profiles'!C:C,"0")</f>
        <v>0</v>
      </c>
      <c r="F88" t="str">
        <v>von Habsburg, Maria Magdalena</v>
      </c>
      <c r="G88" t="str">
        <v>d'Elci, Orso</v>
      </c>
      <c r="H88" t="str" cm="1">
        <f t="array" ref="H88">_xlfn.LET(
_xlpm.t,$G88,
_xlpm.cands,_xlfn._xlws.FILTER('Place Profiles'!$G$2:$G$929,'Place Profiles'!$G$2:$G$929&lt;&gt;""),
_xlpm.counts,COUNTIFS('Raw Data'!$G$2:$G$501,_xlpm.t,'Raw Data'!$F$2:$F$501,_xlpm.cands),
_xlpm.mx,MAX(_xlpm.counts),
IF(_xlpm.mx=0,0,_xlfn.TEXTJOIN(" / ",TRUE,_xlfn._xlws.FILTER(_xlpm.cands,_xlpm.counts=_xlpm.mx)))
)</f>
        <v>Siena</v>
      </c>
      <c r="I88">
        <f>_xlfn.XLOOKUP(H88,'Place Profiles'!A:A,'Place Profiles'!B:B,"0")</f>
        <v>43.3184768539152</v>
      </c>
      <c r="J88">
        <f>_xlfn.XLOOKUP(H88,'Place Profiles'!A:A,'Place Profiles'!C:C,"0")</f>
        <v>11.3310792700061</v>
      </c>
    </row>
    <row r="89" spans="1:10" x14ac:dyDescent="0.45">
      <c r="A89" t="str">
        <v>ID_00088</v>
      </c>
      <c r="B89" t="str">
        <v>1623/00/00</v>
      </c>
      <c r="C89" t="str">
        <v>Firenze/Fiorenza</v>
      </c>
      <c r="D89" s="10">
        <f>_xlfn.XLOOKUP(C89,'Place Profiles'!A:A,'Place Profiles'!B:B,"0")</f>
        <v>43.773821664204803</v>
      </c>
      <c r="E89" s="10">
        <f>_xlfn.XLOOKUP(C89,'Place Profiles'!A:A,'Place Profiles'!C:C,"0")</f>
        <v>11.2555362617661</v>
      </c>
      <c r="F89" t="str">
        <v>von Habsburg, Maria Magdalena</v>
      </c>
      <c r="G89" t="str">
        <v>d'Elci, Orso</v>
      </c>
      <c r="H89" t="str" cm="1">
        <f t="array" ref="H89">_xlfn.LET(
_xlpm.t,$G89,
_xlpm.cands,_xlfn._xlws.FILTER('Place Profiles'!$G$2:$G$929,'Place Profiles'!$G$2:$G$929&lt;&gt;""),
_xlpm.counts,COUNTIFS('Raw Data'!$G$2:$G$501,_xlpm.t,'Raw Data'!$F$2:$F$501,_xlpm.cands),
_xlpm.mx,MAX(_xlpm.counts),
IF(_xlpm.mx=0,0,_xlfn.TEXTJOIN(" / ",TRUE,_xlfn._xlws.FILTER(_xlpm.cands,_xlpm.counts=_xlpm.mx)))
)</f>
        <v>Siena</v>
      </c>
      <c r="I89">
        <f>_xlfn.XLOOKUP(H89,'Place Profiles'!A:A,'Place Profiles'!B:B,"0")</f>
        <v>43.3184768539152</v>
      </c>
      <c r="J89">
        <f>_xlfn.XLOOKUP(H89,'Place Profiles'!A:A,'Place Profiles'!C:C,"0")</f>
        <v>11.3310792700061</v>
      </c>
    </row>
    <row r="90" spans="1:10" x14ac:dyDescent="0.45">
      <c r="A90" t="str">
        <v>ID_00089</v>
      </c>
      <c r="B90" t="str">
        <v>1623/10/17</v>
      </c>
      <c r="C90" t="str">
        <v>Firenze/Fiorenza</v>
      </c>
      <c r="D90" s="10">
        <f>_xlfn.XLOOKUP(C90,'Place Profiles'!A:A,'Place Profiles'!B:B,"0")</f>
        <v>43.773821664204803</v>
      </c>
      <c r="E90" s="10">
        <f>_xlfn.XLOOKUP(C90,'Place Profiles'!A:A,'Place Profiles'!C:C,"0")</f>
        <v>11.2555362617661</v>
      </c>
      <c r="F90" t="str">
        <v>von Habsburg, Maria Magdalena</v>
      </c>
      <c r="G90" t="str">
        <v>d'Elci, Orso</v>
      </c>
      <c r="H90" t="str" cm="1">
        <f t="array" ref="H90">_xlfn.LET(
_xlpm.t,$G90,
_xlpm.cands,_xlfn._xlws.FILTER('Place Profiles'!$G$2:$G$929,'Place Profiles'!$G$2:$G$929&lt;&gt;""),
_xlpm.counts,COUNTIFS('Raw Data'!$G$2:$G$501,_xlpm.t,'Raw Data'!$F$2:$F$501,_xlpm.cands),
_xlpm.mx,MAX(_xlpm.counts),
IF(_xlpm.mx=0,0,_xlfn.TEXTJOIN(" / ",TRUE,_xlfn._xlws.FILTER(_xlpm.cands,_xlpm.counts=_xlpm.mx)))
)</f>
        <v>Siena</v>
      </c>
      <c r="I90">
        <f>_xlfn.XLOOKUP(H90,'Place Profiles'!A:A,'Place Profiles'!B:B,"0")</f>
        <v>43.3184768539152</v>
      </c>
      <c r="J90">
        <f>_xlfn.XLOOKUP(H90,'Place Profiles'!A:A,'Place Profiles'!C:C,"0")</f>
        <v>11.3310792700061</v>
      </c>
    </row>
    <row r="91" spans="1:10" x14ac:dyDescent="0.45">
      <c r="A91" t="str">
        <v>ID_00090</v>
      </c>
      <c r="B91" t="str">
        <v>1623/02/18</v>
      </c>
      <c r="C91" t="str">
        <v>Pisa</v>
      </c>
      <c r="D91" s="10">
        <f>_xlfn.XLOOKUP(C91,'Place Profiles'!A:A,'Place Profiles'!B:B,"0")</f>
        <v>43.722514463828503</v>
      </c>
      <c r="E91" s="10">
        <f>_xlfn.XLOOKUP(C91,'Place Profiles'!A:A,'Place Profiles'!C:C,"0")</f>
        <v>10.3960522879613</v>
      </c>
      <c r="F91" t="str">
        <v>von Habsburg, Maria Magdalena</v>
      </c>
      <c r="G91" t="str">
        <v>d'Elci, Orso</v>
      </c>
      <c r="H91" t="str" cm="1">
        <f t="array" ref="H91">_xlfn.LET(
_xlpm.t,$G91,
_xlpm.cands,_xlfn._xlws.FILTER('Place Profiles'!$G$2:$G$929,'Place Profiles'!$G$2:$G$929&lt;&gt;""),
_xlpm.counts,COUNTIFS('Raw Data'!$G$2:$G$501,_xlpm.t,'Raw Data'!$F$2:$F$501,_xlpm.cands),
_xlpm.mx,MAX(_xlpm.counts),
IF(_xlpm.mx=0,0,_xlfn.TEXTJOIN(" / ",TRUE,_xlfn._xlws.FILTER(_xlpm.cands,_xlpm.counts=_xlpm.mx)))
)</f>
        <v>Siena</v>
      </c>
      <c r="I91">
        <f>_xlfn.XLOOKUP(H91,'Place Profiles'!A:A,'Place Profiles'!B:B,"0")</f>
        <v>43.3184768539152</v>
      </c>
      <c r="J91">
        <f>_xlfn.XLOOKUP(H91,'Place Profiles'!A:A,'Place Profiles'!C:C,"0")</f>
        <v>11.3310792700061</v>
      </c>
    </row>
    <row r="92" spans="1:10" x14ac:dyDescent="0.45">
      <c r="A92" t="str">
        <v>ID_00091</v>
      </c>
      <c r="B92" t="str">
        <v>1623/01/22</v>
      </c>
      <c r="C92" t="str">
        <v>Villa Poggio Imperiale</v>
      </c>
      <c r="D92" s="10">
        <f>_xlfn.XLOOKUP(C92,'Place Profiles'!A:A,'Place Profiles'!B:B,"0")</f>
        <v>43.750267171589698</v>
      </c>
      <c r="E92" s="10">
        <f>_xlfn.XLOOKUP(C92,'Place Profiles'!A:A,'Place Profiles'!C:C,"0")</f>
        <v>11.247396239149801</v>
      </c>
      <c r="F92" t="str">
        <v>di Lorena, Cristina</v>
      </c>
      <c r="G92" t="str">
        <v>d'Elci, Orso</v>
      </c>
      <c r="H92" t="str" cm="1">
        <f t="array" ref="H92">_xlfn.LET(
_xlpm.t,$G92,
_xlpm.cands,_xlfn._xlws.FILTER('Place Profiles'!$G$2:$G$929,'Place Profiles'!$G$2:$G$929&lt;&gt;""),
_xlpm.counts,COUNTIFS('Raw Data'!$G$2:$G$501,_xlpm.t,'Raw Data'!$F$2:$F$501,_xlpm.cands),
_xlpm.mx,MAX(_xlpm.counts),
IF(_xlpm.mx=0,0,_xlfn.TEXTJOIN(" / ",TRUE,_xlfn._xlws.FILTER(_xlpm.cands,_xlpm.counts=_xlpm.mx)))
)</f>
        <v>Siena</v>
      </c>
      <c r="I92">
        <f>_xlfn.XLOOKUP(H92,'Place Profiles'!A:A,'Place Profiles'!B:B,"0")</f>
        <v>43.3184768539152</v>
      </c>
      <c r="J92">
        <f>_xlfn.XLOOKUP(H92,'Place Profiles'!A:A,'Place Profiles'!C:C,"0")</f>
        <v>11.3310792700061</v>
      </c>
    </row>
    <row r="93" spans="1:10" x14ac:dyDescent="0.45">
      <c r="A93" t="str">
        <v>ID_00092</v>
      </c>
      <c r="B93" t="str">
        <v>1623/12/15</v>
      </c>
      <c r="C93" t="str">
        <v>Firenze/Fiorenza</v>
      </c>
      <c r="D93" s="10">
        <f>_xlfn.XLOOKUP(C93,'Place Profiles'!A:A,'Place Profiles'!B:B,"0")</f>
        <v>43.773821664204803</v>
      </c>
      <c r="E93" s="10">
        <f>_xlfn.XLOOKUP(C93,'Place Profiles'!A:A,'Place Profiles'!C:C,"0")</f>
        <v>11.2555362617661</v>
      </c>
      <c r="F93" t="str">
        <v>von Habsburg, Maria Magdalena</v>
      </c>
      <c r="G93" t="str">
        <v>d'Elci, Orso</v>
      </c>
      <c r="H93" t="str" cm="1">
        <f t="array" ref="H93">_xlfn.LET(
_xlpm.t,$G93,
_xlpm.cands,_xlfn._xlws.FILTER('Place Profiles'!$G$2:$G$929,'Place Profiles'!$G$2:$G$929&lt;&gt;""),
_xlpm.counts,COUNTIFS('Raw Data'!$G$2:$G$501,_xlpm.t,'Raw Data'!$F$2:$F$501,_xlpm.cands),
_xlpm.mx,MAX(_xlpm.counts),
IF(_xlpm.mx=0,0,_xlfn.TEXTJOIN(" / ",TRUE,_xlfn._xlws.FILTER(_xlpm.cands,_xlpm.counts=_xlpm.mx)))
)</f>
        <v>Siena</v>
      </c>
      <c r="I93">
        <f>_xlfn.XLOOKUP(H93,'Place Profiles'!A:A,'Place Profiles'!B:B,"0")</f>
        <v>43.3184768539152</v>
      </c>
      <c r="J93">
        <f>_xlfn.XLOOKUP(H93,'Place Profiles'!A:A,'Place Profiles'!C:C,"0")</f>
        <v>11.3310792700061</v>
      </c>
    </row>
    <row r="94" spans="1:10" x14ac:dyDescent="0.45">
      <c r="A94" t="str">
        <v>ID_00093</v>
      </c>
      <c r="B94" t="str">
        <v>1623/01/17</v>
      </c>
      <c r="C94" t="str">
        <v>Villa Poggio Imperiale</v>
      </c>
      <c r="D94" s="10">
        <f>_xlfn.XLOOKUP(C94,'Place Profiles'!A:A,'Place Profiles'!B:B,"0")</f>
        <v>43.750267171589698</v>
      </c>
      <c r="E94" s="10">
        <f>_xlfn.XLOOKUP(C94,'Place Profiles'!A:A,'Place Profiles'!C:C,"0")</f>
        <v>11.247396239149801</v>
      </c>
      <c r="F94" t="str">
        <v>von Habsburg, Maria Magdalena</v>
      </c>
      <c r="G94" t="str">
        <v>d'Elci, Orso</v>
      </c>
      <c r="H94" t="str" cm="1">
        <f t="array" ref="H94">_xlfn.LET(
_xlpm.t,$G94,
_xlpm.cands,_xlfn._xlws.FILTER('Place Profiles'!$G$2:$G$929,'Place Profiles'!$G$2:$G$929&lt;&gt;""),
_xlpm.counts,COUNTIFS('Raw Data'!$G$2:$G$501,_xlpm.t,'Raw Data'!$F$2:$F$501,_xlpm.cands),
_xlpm.mx,MAX(_xlpm.counts),
IF(_xlpm.mx=0,0,_xlfn.TEXTJOIN(" / ",TRUE,_xlfn._xlws.FILTER(_xlpm.cands,_xlpm.counts=_xlpm.mx)))
)</f>
        <v>Siena</v>
      </c>
      <c r="I94">
        <f>_xlfn.XLOOKUP(H94,'Place Profiles'!A:A,'Place Profiles'!B:B,"0")</f>
        <v>43.3184768539152</v>
      </c>
      <c r="J94">
        <f>_xlfn.XLOOKUP(H94,'Place Profiles'!A:A,'Place Profiles'!C:C,"0")</f>
        <v>11.3310792700061</v>
      </c>
    </row>
    <row r="95" spans="1:10" x14ac:dyDescent="0.45">
      <c r="A95" t="str">
        <v>ID_00094</v>
      </c>
      <c r="B95" t="str">
        <v>1623/10/09</v>
      </c>
      <c r="C95" t="str">
        <v>Firenze/Fiorenza</v>
      </c>
      <c r="D95" s="10">
        <f>_xlfn.XLOOKUP(C95,'Place Profiles'!A:A,'Place Profiles'!B:B,"0")</f>
        <v>43.773821664204803</v>
      </c>
      <c r="E95" s="10">
        <f>_xlfn.XLOOKUP(C95,'Place Profiles'!A:A,'Place Profiles'!C:C,"0")</f>
        <v>11.2555362617661</v>
      </c>
      <c r="F95" t="str">
        <v>von Habsburg, Maria Magdalena</v>
      </c>
      <c r="G95" t="str">
        <v>d'Elci, Orso</v>
      </c>
      <c r="H95" t="str" cm="1">
        <f t="array" ref="H95">_xlfn.LET(
_xlpm.t,$G95,
_xlpm.cands,_xlfn._xlws.FILTER('Place Profiles'!$G$2:$G$929,'Place Profiles'!$G$2:$G$929&lt;&gt;""),
_xlpm.counts,COUNTIFS('Raw Data'!$G$2:$G$501,_xlpm.t,'Raw Data'!$F$2:$F$501,_xlpm.cands),
_xlpm.mx,MAX(_xlpm.counts),
IF(_xlpm.mx=0,0,_xlfn.TEXTJOIN(" / ",TRUE,_xlfn._xlws.FILTER(_xlpm.cands,_xlpm.counts=_xlpm.mx)))
)</f>
        <v>Siena</v>
      </c>
      <c r="I95">
        <f>_xlfn.XLOOKUP(H95,'Place Profiles'!A:A,'Place Profiles'!B:B,"0")</f>
        <v>43.3184768539152</v>
      </c>
      <c r="J95">
        <f>_xlfn.XLOOKUP(H95,'Place Profiles'!A:A,'Place Profiles'!C:C,"0")</f>
        <v>11.3310792700061</v>
      </c>
    </row>
    <row r="96" spans="1:10" x14ac:dyDescent="0.45">
      <c r="A96" t="str">
        <v>ID_00095</v>
      </c>
      <c r="B96" t="str">
        <v>1623/02/17</v>
      </c>
      <c r="C96" t="str">
        <v>Firenze/Fiorenza</v>
      </c>
      <c r="D96" s="10">
        <f>_xlfn.XLOOKUP(C96,'Place Profiles'!A:A,'Place Profiles'!B:B,"0")</f>
        <v>43.773821664204803</v>
      </c>
      <c r="E96" s="10">
        <f>_xlfn.XLOOKUP(C96,'Place Profiles'!A:A,'Place Profiles'!C:C,"0")</f>
        <v>11.2555362617661</v>
      </c>
      <c r="F96" t="str">
        <v>von Habsburg, Maria Magdalena</v>
      </c>
      <c r="G96" t="str">
        <v>d'Elci, Orso</v>
      </c>
      <c r="H96" t="str" cm="1">
        <f t="array" ref="H96">_xlfn.LET(
_xlpm.t,$G96,
_xlpm.cands,_xlfn._xlws.FILTER('Place Profiles'!$G$2:$G$929,'Place Profiles'!$G$2:$G$929&lt;&gt;""),
_xlpm.counts,COUNTIFS('Raw Data'!$G$2:$G$501,_xlpm.t,'Raw Data'!$F$2:$F$501,_xlpm.cands),
_xlpm.mx,MAX(_xlpm.counts),
IF(_xlpm.mx=0,0,_xlfn.TEXTJOIN(" / ",TRUE,_xlfn._xlws.FILTER(_xlpm.cands,_xlpm.counts=_xlpm.mx)))
)</f>
        <v>Siena</v>
      </c>
      <c r="I96">
        <f>_xlfn.XLOOKUP(H96,'Place Profiles'!A:A,'Place Profiles'!B:B,"0")</f>
        <v>43.3184768539152</v>
      </c>
      <c r="J96">
        <f>_xlfn.XLOOKUP(H96,'Place Profiles'!A:A,'Place Profiles'!C:C,"0")</f>
        <v>11.3310792700061</v>
      </c>
    </row>
    <row r="97" spans="1:10" x14ac:dyDescent="0.45">
      <c r="A97" t="str">
        <v>ID_00096</v>
      </c>
      <c r="B97" t="str">
        <v>1623/08/30</v>
      </c>
      <c r="C97" t="str">
        <v>Firenze/Fiorenza</v>
      </c>
      <c r="D97" s="10">
        <f>_xlfn.XLOOKUP(C97,'Place Profiles'!A:A,'Place Profiles'!B:B,"0")</f>
        <v>43.773821664204803</v>
      </c>
      <c r="E97" s="10">
        <f>_xlfn.XLOOKUP(C97,'Place Profiles'!A:A,'Place Profiles'!C:C,"0")</f>
        <v>11.2555362617661</v>
      </c>
      <c r="F97" t="str">
        <v>von Habsburg, Maria Magdalena</v>
      </c>
      <c r="G97" t="str">
        <v>d'Elci, Orso</v>
      </c>
      <c r="H97" t="str" cm="1">
        <f t="array" ref="H97">_xlfn.LET(
_xlpm.t,$G97,
_xlpm.cands,_xlfn._xlws.FILTER('Place Profiles'!$G$2:$G$929,'Place Profiles'!$G$2:$G$929&lt;&gt;""),
_xlpm.counts,COUNTIFS('Raw Data'!$G$2:$G$501,_xlpm.t,'Raw Data'!$F$2:$F$501,_xlpm.cands),
_xlpm.mx,MAX(_xlpm.counts),
IF(_xlpm.mx=0,0,_xlfn.TEXTJOIN(" / ",TRUE,_xlfn._xlws.FILTER(_xlpm.cands,_xlpm.counts=_xlpm.mx)))
)</f>
        <v>Siena</v>
      </c>
      <c r="I97">
        <f>_xlfn.XLOOKUP(H97,'Place Profiles'!A:A,'Place Profiles'!B:B,"0")</f>
        <v>43.3184768539152</v>
      </c>
      <c r="J97">
        <f>_xlfn.XLOOKUP(H97,'Place Profiles'!A:A,'Place Profiles'!C:C,"0")</f>
        <v>11.3310792700061</v>
      </c>
    </row>
    <row r="98" spans="1:10" x14ac:dyDescent="0.45">
      <c r="A98" t="str">
        <v>ID_00097</v>
      </c>
      <c r="B98" t="str">
        <v>1623/01/25</v>
      </c>
      <c r="C98" t="str">
        <v>Villa Poggio Imperiale</v>
      </c>
      <c r="D98" s="10">
        <f>_xlfn.XLOOKUP(C98,'Place Profiles'!A:A,'Place Profiles'!B:B,"0")</f>
        <v>43.750267171589698</v>
      </c>
      <c r="E98" s="10">
        <f>_xlfn.XLOOKUP(C98,'Place Profiles'!A:A,'Place Profiles'!C:C,"0")</f>
        <v>11.247396239149801</v>
      </c>
      <c r="F98" t="str">
        <v>von Habsburg, Maria Magdalena</v>
      </c>
      <c r="G98" t="str">
        <v>d'Elci, Orso</v>
      </c>
      <c r="H98" t="str" cm="1">
        <f t="array" ref="H98">_xlfn.LET(
_xlpm.t,$G98,
_xlpm.cands,_xlfn._xlws.FILTER('Place Profiles'!$G$2:$G$929,'Place Profiles'!$G$2:$G$929&lt;&gt;""),
_xlpm.counts,COUNTIFS('Raw Data'!$G$2:$G$501,_xlpm.t,'Raw Data'!$F$2:$F$501,_xlpm.cands),
_xlpm.mx,MAX(_xlpm.counts),
IF(_xlpm.mx=0,0,_xlfn.TEXTJOIN(" / ",TRUE,_xlfn._xlws.FILTER(_xlpm.cands,_xlpm.counts=_xlpm.mx)))
)</f>
        <v>Siena</v>
      </c>
      <c r="I98">
        <f>_xlfn.XLOOKUP(H98,'Place Profiles'!A:A,'Place Profiles'!B:B,"0")</f>
        <v>43.3184768539152</v>
      </c>
      <c r="J98">
        <f>_xlfn.XLOOKUP(H98,'Place Profiles'!A:A,'Place Profiles'!C:C,"0")</f>
        <v>11.3310792700061</v>
      </c>
    </row>
    <row r="99" spans="1:10" x14ac:dyDescent="0.45">
      <c r="A99" t="str">
        <v>ID_00098</v>
      </c>
      <c r="B99" t="str">
        <v>1623/00/19</v>
      </c>
      <c r="C99" t="str">
        <v>Firenze/Fiorenza</v>
      </c>
      <c r="D99" s="10">
        <f>_xlfn.XLOOKUP(C99,'Place Profiles'!A:A,'Place Profiles'!B:B,"0")</f>
        <v>43.773821664204803</v>
      </c>
      <c r="E99" s="10">
        <f>_xlfn.XLOOKUP(C99,'Place Profiles'!A:A,'Place Profiles'!C:C,"0")</f>
        <v>11.2555362617661</v>
      </c>
      <c r="F99" t="str">
        <v>von Habsburg, Maria Magdalena</v>
      </c>
      <c r="G99" t="str">
        <v>d'Elci, Orso</v>
      </c>
      <c r="H99" t="str" cm="1">
        <f t="array" ref="H99">_xlfn.LET(
_xlpm.t,$G99,
_xlpm.cands,_xlfn._xlws.FILTER('Place Profiles'!$G$2:$G$929,'Place Profiles'!$G$2:$G$929&lt;&gt;""),
_xlpm.counts,COUNTIFS('Raw Data'!$G$2:$G$501,_xlpm.t,'Raw Data'!$F$2:$F$501,_xlpm.cands),
_xlpm.mx,MAX(_xlpm.counts),
IF(_xlpm.mx=0,0,_xlfn.TEXTJOIN(" / ",TRUE,_xlfn._xlws.FILTER(_xlpm.cands,_xlpm.counts=_xlpm.mx)))
)</f>
        <v>Siena</v>
      </c>
      <c r="I99">
        <f>_xlfn.XLOOKUP(H99,'Place Profiles'!A:A,'Place Profiles'!B:B,"0")</f>
        <v>43.3184768539152</v>
      </c>
      <c r="J99">
        <f>_xlfn.XLOOKUP(H99,'Place Profiles'!A:A,'Place Profiles'!C:C,"0")</f>
        <v>11.3310792700061</v>
      </c>
    </row>
    <row r="100" spans="1:10" x14ac:dyDescent="0.45">
      <c r="A100" t="str">
        <v>ID_00099</v>
      </c>
      <c r="B100" t="str">
        <v>1623/02/07</v>
      </c>
      <c r="C100" t="str">
        <v>Firenze/Fiorenza</v>
      </c>
      <c r="D100" s="10">
        <f>_xlfn.XLOOKUP(C100,'Place Profiles'!A:A,'Place Profiles'!B:B,"0")</f>
        <v>43.773821664204803</v>
      </c>
      <c r="E100" s="10">
        <f>_xlfn.XLOOKUP(C100,'Place Profiles'!A:A,'Place Profiles'!C:C,"0")</f>
        <v>11.2555362617661</v>
      </c>
      <c r="F100" t="str">
        <v>von Habsburg, Maria Magdalena</v>
      </c>
      <c r="G100" t="str">
        <v>d'Elci, Orso</v>
      </c>
      <c r="H100" t="str" cm="1">
        <f t="array" ref="H100">_xlfn.LET(
_xlpm.t,$G100,
_xlpm.cands,_xlfn._xlws.FILTER('Place Profiles'!$G$2:$G$929,'Place Profiles'!$G$2:$G$929&lt;&gt;""),
_xlpm.counts,COUNTIFS('Raw Data'!$G$2:$G$501,_xlpm.t,'Raw Data'!$F$2:$F$501,_xlpm.cands),
_xlpm.mx,MAX(_xlpm.counts),
IF(_xlpm.mx=0,0,_xlfn.TEXTJOIN(" / ",TRUE,_xlfn._xlws.FILTER(_xlpm.cands,_xlpm.counts=_xlpm.mx)))
)</f>
        <v>Siena</v>
      </c>
      <c r="I100">
        <f>_xlfn.XLOOKUP(H100,'Place Profiles'!A:A,'Place Profiles'!B:B,"0")</f>
        <v>43.3184768539152</v>
      </c>
      <c r="J100">
        <f>_xlfn.XLOOKUP(H100,'Place Profiles'!A:A,'Place Profiles'!C:C,"0")</f>
        <v>11.3310792700061</v>
      </c>
    </row>
    <row r="101" spans="1:10" x14ac:dyDescent="0.45">
      <c r="A101" t="str">
        <v>ID_00100</v>
      </c>
      <c r="B101" t="str">
        <v>1623/09/18</v>
      </c>
      <c r="C101" t="str">
        <v>Firenze/Fiorenza</v>
      </c>
      <c r="D101" s="10">
        <f>_xlfn.XLOOKUP(C101,'Place Profiles'!A:A,'Place Profiles'!B:B,"0")</f>
        <v>43.773821664204803</v>
      </c>
      <c r="E101" s="10">
        <f>_xlfn.XLOOKUP(C101,'Place Profiles'!A:A,'Place Profiles'!C:C,"0")</f>
        <v>11.2555362617661</v>
      </c>
      <c r="F101" t="str">
        <v>von Habsburg, Maria Magdalena</v>
      </c>
      <c r="G101" t="str">
        <v>d'Elci, Orso</v>
      </c>
      <c r="H101" t="str" cm="1">
        <f t="array" ref="H101">_xlfn.LET(
_xlpm.t,$G101,
_xlpm.cands,_xlfn._xlws.FILTER('Place Profiles'!$G$2:$G$929,'Place Profiles'!$G$2:$G$929&lt;&gt;""),
_xlpm.counts,COUNTIFS('Raw Data'!$G$2:$G$501,_xlpm.t,'Raw Data'!$F$2:$F$501,_xlpm.cands),
_xlpm.mx,MAX(_xlpm.counts),
IF(_xlpm.mx=0,0,_xlfn.TEXTJOIN(" / ",TRUE,_xlfn._xlws.FILTER(_xlpm.cands,_xlpm.counts=_xlpm.mx)))
)</f>
        <v>Siena</v>
      </c>
      <c r="I101">
        <f>_xlfn.XLOOKUP(H101,'Place Profiles'!A:A,'Place Profiles'!B:B,"0")</f>
        <v>43.3184768539152</v>
      </c>
      <c r="J101">
        <f>_xlfn.XLOOKUP(H101,'Place Profiles'!A:A,'Place Profiles'!C:C,"0")</f>
        <v>11.3310792700061</v>
      </c>
    </row>
    <row r="102" spans="1:10" x14ac:dyDescent="0.45">
      <c r="A102" t="str">
        <v>ID_00101</v>
      </c>
      <c r="B102" t="str">
        <v>1623/11/15</v>
      </c>
      <c r="C102" t="str">
        <v>Firenze/Fiorenza</v>
      </c>
      <c r="D102" s="10">
        <f>_xlfn.XLOOKUP(C102,'Place Profiles'!A:A,'Place Profiles'!B:B,"0")</f>
        <v>43.773821664204803</v>
      </c>
      <c r="E102" s="10">
        <f>_xlfn.XLOOKUP(C102,'Place Profiles'!A:A,'Place Profiles'!C:C,"0")</f>
        <v>11.2555362617661</v>
      </c>
      <c r="F102" t="str">
        <v>di Lorena, Cristina</v>
      </c>
      <c r="G102" t="str">
        <v>d'Elci, Orso</v>
      </c>
      <c r="H102" t="str" cm="1">
        <f t="array" ref="H102">_xlfn.LET(
_xlpm.t,$G102,
_xlpm.cands,_xlfn._xlws.FILTER('Place Profiles'!$G$2:$G$929,'Place Profiles'!$G$2:$G$929&lt;&gt;""),
_xlpm.counts,COUNTIFS('Raw Data'!$G$2:$G$501,_xlpm.t,'Raw Data'!$F$2:$F$501,_xlpm.cands),
_xlpm.mx,MAX(_xlpm.counts),
IF(_xlpm.mx=0,0,_xlfn.TEXTJOIN(" / ",TRUE,_xlfn._xlws.FILTER(_xlpm.cands,_xlpm.counts=_xlpm.mx)))
)</f>
        <v>Siena</v>
      </c>
      <c r="I102">
        <f>_xlfn.XLOOKUP(H102,'Place Profiles'!A:A,'Place Profiles'!B:B,"0")</f>
        <v>43.3184768539152</v>
      </c>
      <c r="J102">
        <f>_xlfn.XLOOKUP(H102,'Place Profiles'!A:A,'Place Profiles'!C:C,"0")</f>
        <v>11.3310792700061</v>
      </c>
    </row>
    <row r="103" spans="1:10" x14ac:dyDescent="0.45">
      <c r="A103" t="str">
        <v>ID_00102</v>
      </c>
      <c r="B103" t="str">
        <v>1623/01/11</v>
      </c>
      <c r="C103" t="str">
        <v>Villa Poggio Imperiale</v>
      </c>
      <c r="D103" s="10">
        <f>_xlfn.XLOOKUP(C103,'Place Profiles'!A:A,'Place Profiles'!B:B,"0")</f>
        <v>43.750267171589698</v>
      </c>
      <c r="E103" s="10">
        <f>_xlfn.XLOOKUP(C103,'Place Profiles'!A:A,'Place Profiles'!C:C,"0")</f>
        <v>11.247396239149801</v>
      </c>
      <c r="F103" t="str">
        <v>von Habsburg, Maria Magdalena</v>
      </c>
      <c r="G103" t="str">
        <v>d'Elci, Orso</v>
      </c>
      <c r="H103" t="str" cm="1">
        <f t="array" ref="H103">_xlfn.LET(
_xlpm.t,$G103,
_xlpm.cands,_xlfn._xlws.FILTER('Place Profiles'!$G$2:$G$929,'Place Profiles'!$G$2:$G$929&lt;&gt;""),
_xlpm.counts,COUNTIFS('Raw Data'!$G$2:$G$501,_xlpm.t,'Raw Data'!$F$2:$F$501,_xlpm.cands),
_xlpm.mx,MAX(_xlpm.counts),
IF(_xlpm.mx=0,0,_xlfn.TEXTJOIN(" / ",TRUE,_xlfn._xlws.FILTER(_xlpm.cands,_xlpm.counts=_xlpm.mx)))
)</f>
        <v>Siena</v>
      </c>
      <c r="I103">
        <f>_xlfn.XLOOKUP(H103,'Place Profiles'!A:A,'Place Profiles'!B:B,"0")</f>
        <v>43.3184768539152</v>
      </c>
      <c r="J103">
        <f>_xlfn.XLOOKUP(H103,'Place Profiles'!A:A,'Place Profiles'!C:C,"0")</f>
        <v>11.3310792700061</v>
      </c>
    </row>
    <row r="104" spans="1:10" x14ac:dyDescent="0.45">
      <c r="A104" t="str">
        <v>ID_00103</v>
      </c>
      <c r="B104" t="str">
        <v>1623/12/15</v>
      </c>
      <c r="C104" t="str">
        <v>Firenze/Fiorenza</v>
      </c>
      <c r="D104" s="10">
        <f>_xlfn.XLOOKUP(C104,'Place Profiles'!A:A,'Place Profiles'!B:B,"0")</f>
        <v>43.773821664204803</v>
      </c>
      <c r="E104" s="10">
        <f>_xlfn.XLOOKUP(C104,'Place Profiles'!A:A,'Place Profiles'!C:C,"0")</f>
        <v>11.2555362617661</v>
      </c>
      <c r="F104" t="str">
        <v>von Habsburg, Maria Magdalena</v>
      </c>
      <c r="G104" t="str">
        <v>d'Elci, Orso</v>
      </c>
      <c r="H104" t="str" cm="1">
        <f t="array" ref="H104">_xlfn.LET(
_xlpm.t,$G104,
_xlpm.cands,_xlfn._xlws.FILTER('Place Profiles'!$G$2:$G$929,'Place Profiles'!$G$2:$G$929&lt;&gt;""),
_xlpm.counts,COUNTIFS('Raw Data'!$G$2:$G$501,_xlpm.t,'Raw Data'!$F$2:$F$501,_xlpm.cands),
_xlpm.mx,MAX(_xlpm.counts),
IF(_xlpm.mx=0,0,_xlfn.TEXTJOIN(" / ",TRUE,_xlfn._xlws.FILTER(_xlpm.cands,_xlpm.counts=_xlpm.mx)))
)</f>
        <v>Siena</v>
      </c>
      <c r="I104">
        <f>_xlfn.XLOOKUP(H104,'Place Profiles'!A:A,'Place Profiles'!B:B,"0")</f>
        <v>43.3184768539152</v>
      </c>
      <c r="J104">
        <f>_xlfn.XLOOKUP(H104,'Place Profiles'!A:A,'Place Profiles'!C:C,"0")</f>
        <v>11.3310792700061</v>
      </c>
    </row>
    <row r="105" spans="1:10" x14ac:dyDescent="0.45">
      <c r="A105" t="str">
        <v>ID_00104</v>
      </c>
      <c r="B105" t="str">
        <v>1623/08/24</v>
      </c>
      <c r="C105" t="str">
        <v>Firenze/Fiorenza</v>
      </c>
      <c r="D105" s="10">
        <f>_xlfn.XLOOKUP(C105,'Place Profiles'!A:A,'Place Profiles'!B:B,"0")</f>
        <v>43.773821664204803</v>
      </c>
      <c r="E105" s="10">
        <f>_xlfn.XLOOKUP(C105,'Place Profiles'!A:A,'Place Profiles'!C:C,"0")</f>
        <v>11.2555362617661</v>
      </c>
      <c r="F105" t="str">
        <v>von Habsburg, Maria Magdalena</v>
      </c>
      <c r="G105" t="str">
        <v>d'Elci, Orso</v>
      </c>
      <c r="H105" t="str" cm="1">
        <f t="array" ref="H105">_xlfn.LET(
_xlpm.t,$G105,
_xlpm.cands,_xlfn._xlws.FILTER('Place Profiles'!$G$2:$G$929,'Place Profiles'!$G$2:$G$929&lt;&gt;""),
_xlpm.counts,COUNTIFS('Raw Data'!$G$2:$G$501,_xlpm.t,'Raw Data'!$F$2:$F$501,_xlpm.cands),
_xlpm.mx,MAX(_xlpm.counts),
IF(_xlpm.mx=0,0,_xlfn.TEXTJOIN(" / ",TRUE,_xlfn._xlws.FILTER(_xlpm.cands,_xlpm.counts=_xlpm.mx)))
)</f>
        <v>Siena</v>
      </c>
      <c r="I105">
        <f>_xlfn.XLOOKUP(H105,'Place Profiles'!A:A,'Place Profiles'!B:B,"0")</f>
        <v>43.3184768539152</v>
      </c>
      <c r="J105">
        <f>_xlfn.XLOOKUP(H105,'Place Profiles'!A:A,'Place Profiles'!C:C,"0")</f>
        <v>11.3310792700061</v>
      </c>
    </row>
    <row r="106" spans="1:10" x14ac:dyDescent="0.45">
      <c r="A106" t="str">
        <v>ID_00105</v>
      </c>
      <c r="B106" t="str">
        <v>1623/07/03</v>
      </c>
      <c r="C106" t="str">
        <v>Firenze/Fiorenza</v>
      </c>
      <c r="D106" s="10">
        <f>_xlfn.XLOOKUP(C106,'Place Profiles'!A:A,'Place Profiles'!B:B,"0")</f>
        <v>43.773821664204803</v>
      </c>
      <c r="E106" s="10">
        <f>_xlfn.XLOOKUP(C106,'Place Profiles'!A:A,'Place Profiles'!C:C,"0")</f>
        <v>11.2555362617661</v>
      </c>
      <c r="F106" t="str">
        <v>von Habsburg, Maria Magdalena</v>
      </c>
      <c r="G106" t="str">
        <v>d'Elci, Orso</v>
      </c>
      <c r="H106" t="str" cm="1">
        <f t="array" ref="H106">_xlfn.LET(
_xlpm.t,$G106,
_xlpm.cands,_xlfn._xlws.FILTER('Place Profiles'!$G$2:$G$929,'Place Profiles'!$G$2:$G$929&lt;&gt;""),
_xlpm.counts,COUNTIFS('Raw Data'!$G$2:$G$501,_xlpm.t,'Raw Data'!$F$2:$F$501,_xlpm.cands),
_xlpm.mx,MAX(_xlpm.counts),
IF(_xlpm.mx=0,0,_xlfn.TEXTJOIN(" / ",TRUE,_xlfn._xlws.FILTER(_xlpm.cands,_xlpm.counts=_xlpm.mx)))
)</f>
        <v>Siena</v>
      </c>
      <c r="I106">
        <f>_xlfn.XLOOKUP(H106,'Place Profiles'!A:A,'Place Profiles'!B:B,"0")</f>
        <v>43.3184768539152</v>
      </c>
      <c r="J106">
        <f>_xlfn.XLOOKUP(H106,'Place Profiles'!A:A,'Place Profiles'!C:C,"0")</f>
        <v>11.3310792700061</v>
      </c>
    </row>
    <row r="107" spans="1:10" x14ac:dyDescent="0.45">
      <c r="A107" t="str">
        <v>ID_00106</v>
      </c>
      <c r="B107" t="str">
        <v>1623/11/16</v>
      </c>
      <c r="C107" t="str">
        <v>Firenze/Fiorenza</v>
      </c>
      <c r="D107" s="10">
        <f>_xlfn.XLOOKUP(C107,'Place Profiles'!A:A,'Place Profiles'!B:B,"0")</f>
        <v>43.773821664204803</v>
      </c>
      <c r="E107" s="10">
        <f>_xlfn.XLOOKUP(C107,'Place Profiles'!A:A,'Place Profiles'!C:C,"0")</f>
        <v>11.2555362617661</v>
      </c>
      <c r="F107" t="str">
        <v>von Habsburg, Maria Magdalena</v>
      </c>
      <c r="G107" t="str">
        <v>d'Elci, Orso</v>
      </c>
      <c r="H107" t="str" cm="1">
        <f t="array" ref="H107">_xlfn.LET(
_xlpm.t,$G107,
_xlpm.cands,_xlfn._xlws.FILTER('Place Profiles'!$G$2:$G$929,'Place Profiles'!$G$2:$G$929&lt;&gt;""),
_xlpm.counts,COUNTIFS('Raw Data'!$G$2:$G$501,_xlpm.t,'Raw Data'!$F$2:$F$501,_xlpm.cands),
_xlpm.mx,MAX(_xlpm.counts),
IF(_xlpm.mx=0,0,_xlfn.TEXTJOIN(" / ",TRUE,_xlfn._xlws.FILTER(_xlpm.cands,_xlpm.counts=_xlpm.mx)))
)</f>
        <v>Siena</v>
      </c>
      <c r="I107">
        <f>_xlfn.XLOOKUP(H107,'Place Profiles'!A:A,'Place Profiles'!B:B,"0")</f>
        <v>43.3184768539152</v>
      </c>
      <c r="J107">
        <f>_xlfn.XLOOKUP(H107,'Place Profiles'!A:A,'Place Profiles'!C:C,"0")</f>
        <v>11.3310792700061</v>
      </c>
    </row>
    <row r="108" spans="1:10" x14ac:dyDescent="0.45">
      <c r="A108" t="str">
        <v>ID_00107</v>
      </c>
      <c r="B108" t="str">
        <v>1623/11/15</v>
      </c>
      <c r="C108" t="str">
        <v>Firenze/Fiorenza</v>
      </c>
      <c r="D108" s="10">
        <f>_xlfn.XLOOKUP(C108,'Place Profiles'!A:A,'Place Profiles'!B:B,"0")</f>
        <v>43.773821664204803</v>
      </c>
      <c r="E108" s="10">
        <f>_xlfn.XLOOKUP(C108,'Place Profiles'!A:A,'Place Profiles'!C:C,"0")</f>
        <v>11.2555362617661</v>
      </c>
      <c r="F108" t="str">
        <v>von Habsburg, Maria Magdalena</v>
      </c>
      <c r="G108" t="str">
        <v>d'Elci, Orso</v>
      </c>
      <c r="H108" t="str" cm="1">
        <f t="array" ref="H108">_xlfn.LET(
_xlpm.t,$G108,
_xlpm.cands,_xlfn._xlws.FILTER('Place Profiles'!$G$2:$G$929,'Place Profiles'!$G$2:$G$929&lt;&gt;""),
_xlpm.counts,COUNTIFS('Raw Data'!$G$2:$G$501,_xlpm.t,'Raw Data'!$F$2:$F$501,_xlpm.cands),
_xlpm.mx,MAX(_xlpm.counts),
IF(_xlpm.mx=0,0,_xlfn.TEXTJOIN(" / ",TRUE,_xlfn._xlws.FILTER(_xlpm.cands,_xlpm.counts=_xlpm.mx)))
)</f>
        <v>Siena</v>
      </c>
      <c r="I108">
        <f>_xlfn.XLOOKUP(H108,'Place Profiles'!A:A,'Place Profiles'!B:B,"0")</f>
        <v>43.3184768539152</v>
      </c>
      <c r="J108">
        <f>_xlfn.XLOOKUP(H108,'Place Profiles'!A:A,'Place Profiles'!C:C,"0")</f>
        <v>11.3310792700061</v>
      </c>
    </row>
    <row r="109" spans="1:10" x14ac:dyDescent="0.45">
      <c r="A109" t="str">
        <v>ID_00108</v>
      </c>
      <c r="B109" t="str">
        <v>1623/11/07</v>
      </c>
      <c r="C109" t="str">
        <v>Firenze/Fiorenza</v>
      </c>
      <c r="D109" s="10">
        <f>_xlfn.XLOOKUP(C109,'Place Profiles'!A:A,'Place Profiles'!B:B,"0")</f>
        <v>43.773821664204803</v>
      </c>
      <c r="E109" s="10">
        <f>_xlfn.XLOOKUP(C109,'Place Profiles'!A:A,'Place Profiles'!C:C,"0")</f>
        <v>11.2555362617661</v>
      </c>
      <c r="F109" t="str">
        <v>von Habsburg, Maria Magdalena</v>
      </c>
      <c r="G109" t="str">
        <v>d'Elci, Orso</v>
      </c>
      <c r="H109" t="str" cm="1">
        <f t="array" ref="H109">_xlfn.LET(
_xlpm.t,$G109,
_xlpm.cands,_xlfn._xlws.FILTER('Place Profiles'!$G$2:$G$929,'Place Profiles'!$G$2:$G$929&lt;&gt;""),
_xlpm.counts,COUNTIFS('Raw Data'!$G$2:$G$501,_xlpm.t,'Raw Data'!$F$2:$F$501,_xlpm.cands),
_xlpm.mx,MAX(_xlpm.counts),
IF(_xlpm.mx=0,0,_xlfn.TEXTJOIN(" / ",TRUE,_xlfn._xlws.FILTER(_xlpm.cands,_xlpm.counts=_xlpm.mx)))
)</f>
        <v>Siena</v>
      </c>
      <c r="I109">
        <f>_xlfn.XLOOKUP(H109,'Place Profiles'!A:A,'Place Profiles'!B:B,"0")</f>
        <v>43.3184768539152</v>
      </c>
      <c r="J109">
        <f>_xlfn.XLOOKUP(H109,'Place Profiles'!A:A,'Place Profiles'!C:C,"0")</f>
        <v>11.3310792700061</v>
      </c>
    </row>
    <row r="110" spans="1:10" x14ac:dyDescent="0.45">
      <c r="A110" t="str">
        <v>ID_00109</v>
      </c>
      <c r="B110" t="str">
        <v>1623/11/29</v>
      </c>
      <c r="C110" t="str">
        <v>Firenze/Fiorenza</v>
      </c>
      <c r="D110" s="10">
        <f>_xlfn.XLOOKUP(C110,'Place Profiles'!A:A,'Place Profiles'!B:B,"0")</f>
        <v>43.773821664204803</v>
      </c>
      <c r="E110" s="10">
        <f>_xlfn.XLOOKUP(C110,'Place Profiles'!A:A,'Place Profiles'!C:C,"0")</f>
        <v>11.2555362617661</v>
      </c>
      <c r="F110" t="str">
        <v>von Habsburg, Maria Magdalena</v>
      </c>
      <c r="G110" t="str">
        <v>d'Elci, Orso</v>
      </c>
      <c r="H110" t="str" cm="1">
        <f t="array" ref="H110">_xlfn.LET(
_xlpm.t,$G110,
_xlpm.cands,_xlfn._xlws.FILTER('Place Profiles'!$G$2:$G$929,'Place Profiles'!$G$2:$G$929&lt;&gt;""),
_xlpm.counts,COUNTIFS('Raw Data'!$G$2:$G$501,_xlpm.t,'Raw Data'!$F$2:$F$501,_xlpm.cands),
_xlpm.mx,MAX(_xlpm.counts),
IF(_xlpm.mx=0,0,_xlfn.TEXTJOIN(" / ",TRUE,_xlfn._xlws.FILTER(_xlpm.cands,_xlpm.counts=_xlpm.mx)))
)</f>
        <v>Siena</v>
      </c>
      <c r="I110">
        <f>_xlfn.XLOOKUP(H110,'Place Profiles'!A:A,'Place Profiles'!B:B,"0")</f>
        <v>43.3184768539152</v>
      </c>
      <c r="J110">
        <f>_xlfn.XLOOKUP(H110,'Place Profiles'!A:A,'Place Profiles'!C:C,"0")</f>
        <v>11.3310792700061</v>
      </c>
    </row>
    <row r="111" spans="1:10" x14ac:dyDescent="0.45">
      <c r="A111" t="str">
        <v>ID_00110</v>
      </c>
      <c r="B111" t="str">
        <v>1623/11/25</v>
      </c>
      <c r="C111" t="str">
        <v>Firenze/Fiorenza</v>
      </c>
      <c r="D111" s="10">
        <f>_xlfn.XLOOKUP(C111,'Place Profiles'!A:A,'Place Profiles'!B:B,"0")</f>
        <v>43.773821664204803</v>
      </c>
      <c r="E111" s="10">
        <f>_xlfn.XLOOKUP(C111,'Place Profiles'!A:A,'Place Profiles'!C:C,"0")</f>
        <v>11.2555362617661</v>
      </c>
      <c r="F111" t="str">
        <v>von Habsburg, Maria Magdalena</v>
      </c>
      <c r="G111" t="str">
        <v>d'Elci, Orso</v>
      </c>
      <c r="H111" t="str" cm="1">
        <f t="array" ref="H111">_xlfn.LET(
_xlpm.t,$G111,
_xlpm.cands,_xlfn._xlws.FILTER('Place Profiles'!$G$2:$G$929,'Place Profiles'!$G$2:$G$929&lt;&gt;""),
_xlpm.counts,COUNTIFS('Raw Data'!$G$2:$G$501,_xlpm.t,'Raw Data'!$F$2:$F$501,_xlpm.cands),
_xlpm.mx,MAX(_xlpm.counts),
IF(_xlpm.mx=0,0,_xlfn.TEXTJOIN(" / ",TRUE,_xlfn._xlws.FILTER(_xlpm.cands,_xlpm.counts=_xlpm.mx)))
)</f>
        <v>Siena</v>
      </c>
      <c r="I111">
        <f>_xlfn.XLOOKUP(H111,'Place Profiles'!A:A,'Place Profiles'!B:B,"0")</f>
        <v>43.3184768539152</v>
      </c>
      <c r="J111">
        <f>_xlfn.XLOOKUP(H111,'Place Profiles'!A:A,'Place Profiles'!C:C,"0")</f>
        <v>11.3310792700061</v>
      </c>
    </row>
    <row r="112" spans="1:10" x14ac:dyDescent="0.45">
      <c r="A112" t="str">
        <v>ID_00111</v>
      </c>
      <c r="B112" t="str">
        <v>1623/07/16</v>
      </c>
      <c r="C112" t="str">
        <v>Firenze/Fiorenza</v>
      </c>
      <c r="D112" s="10">
        <f>_xlfn.XLOOKUP(C112,'Place Profiles'!A:A,'Place Profiles'!B:B,"0")</f>
        <v>43.773821664204803</v>
      </c>
      <c r="E112" s="10">
        <f>_xlfn.XLOOKUP(C112,'Place Profiles'!A:A,'Place Profiles'!C:C,"0")</f>
        <v>11.2555362617661</v>
      </c>
      <c r="F112" t="str">
        <v>von Habsburg, Maria Magdalena</v>
      </c>
      <c r="G112" t="str">
        <v>de' Medici, Carlo</v>
      </c>
      <c r="H112" t="str" cm="1">
        <f t="array" ref="H112">_xlfn.LET(
_xlpm.t,$G112,
_xlpm.cands,_xlfn._xlws.FILTER('Place Profiles'!$G$2:$G$929,'Place Profiles'!$G$2:$G$929&lt;&gt;""),
_xlpm.counts,COUNTIFS('Raw Data'!$G$2:$G$501,_xlpm.t,'Raw Data'!$F$2:$F$501,_xlpm.cands),
_xlpm.mx,MAX(_xlpm.counts),
IF(_xlpm.mx=0,0,_xlfn.TEXTJOIN(" / ",TRUE,_xlfn._xlws.FILTER(_xlpm.cands,_xlpm.counts=_xlpm.mx)))
)</f>
        <v>Firenze/Fiorenza</v>
      </c>
      <c r="I112">
        <f>_xlfn.XLOOKUP(H112,'Place Profiles'!A:A,'Place Profiles'!B:B,"0")</f>
        <v>43.773821664204803</v>
      </c>
      <c r="J112">
        <f>_xlfn.XLOOKUP(H112,'Place Profiles'!A:A,'Place Profiles'!C:C,"0")</f>
        <v>11.2555362617661</v>
      </c>
    </row>
    <row r="113" spans="1:10" x14ac:dyDescent="0.45">
      <c r="A113" t="str">
        <v>ID_00112</v>
      </c>
      <c r="B113" t="str">
        <v>1623/07/16</v>
      </c>
      <c r="C113" t="str">
        <v>Firenze/Fiorenza</v>
      </c>
      <c r="D113" s="10">
        <f>_xlfn.XLOOKUP(C113,'Place Profiles'!A:A,'Place Profiles'!B:B,"0")</f>
        <v>43.773821664204803</v>
      </c>
      <c r="E113" s="10">
        <f>_xlfn.XLOOKUP(C113,'Place Profiles'!A:A,'Place Profiles'!C:C,"0")</f>
        <v>11.2555362617661</v>
      </c>
      <c r="F113" t="str">
        <v>von Habsburg, Maria Magdalena</v>
      </c>
      <c r="G113" t="str">
        <v>d'Elci, Orso</v>
      </c>
      <c r="H113" t="str" cm="1">
        <f t="array" ref="H113">_xlfn.LET(
_xlpm.t,$G113,
_xlpm.cands,_xlfn._xlws.FILTER('Place Profiles'!$G$2:$G$929,'Place Profiles'!$G$2:$G$929&lt;&gt;""),
_xlpm.counts,COUNTIFS('Raw Data'!$G$2:$G$501,_xlpm.t,'Raw Data'!$F$2:$F$501,_xlpm.cands),
_xlpm.mx,MAX(_xlpm.counts),
IF(_xlpm.mx=0,0,_xlfn.TEXTJOIN(" / ",TRUE,_xlfn._xlws.FILTER(_xlpm.cands,_xlpm.counts=_xlpm.mx)))
)</f>
        <v>Siena</v>
      </c>
      <c r="I113">
        <f>_xlfn.XLOOKUP(H113,'Place Profiles'!A:A,'Place Profiles'!B:B,"0")</f>
        <v>43.3184768539152</v>
      </c>
      <c r="J113">
        <f>_xlfn.XLOOKUP(H113,'Place Profiles'!A:A,'Place Profiles'!C:C,"0")</f>
        <v>11.3310792700061</v>
      </c>
    </row>
    <row r="114" spans="1:10" x14ac:dyDescent="0.45">
      <c r="A114" t="str">
        <v>ID_00113</v>
      </c>
      <c r="B114" t="str">
        <v>1623/10/14</v>
      </c>
      <c r="C114" t="str">
        <v>Roma</v>
      </c>
      <c r="D114" s="10">
        <f>_xlfn.XLOOKUP(C114,'Place Profiles'!A:A,'Place Profiles'!B:B,"0")</f>
        <v>41.899629583830801</v>
      </c>
      <c r="E114" s="10">
        <f>_xlfn.XLOOKUP(C114,'Place Profiles'!A:A,'Place Profiles'!C:C,"0")</f>
        <v>12.5678772754165</v>
      </c>
      <c r="F114" t="str">
        <v>de' Medici, Carlo</v>
      </c>
      <c r="G114" t="str">
        <v>de' Medici, Claudia</v>
      </c>
      <c r="H114" cm="1">
        <f t="array" ref="H114">_xlfn.LET(
_xlpm.t,$G114,
_xlpm.cands,_xlfn._xlws.FILTER('Place Profiles'!$G$2:$G$929,'Place Profiles'!$G$2:$G$929&lt;&gt;""),
_xlpm.counts,COUNTIFS('Raw Data'!$G$2:$G$501,_xlpm.t,'Raw Data'!$F$2:$F$501,_xlpm.cands),
_xlpm.mx,MAX(_xlpm.counts),
IF(_xlpm.mx=0,0,_xlfn.TEXTJOIN(" / ",TRUE,_xlfn._xlws.FILTER(_xlpm.cands,_xlpm.counts=_xlpm.mx)))
)</f>
        <v>0</v>
      </c>
      <c r="I114" t="str">
        <f>_xlfn.XLOOKUP(H114,'Place Profiles'!A:A,'Place Profiles'!B:B,"0")</f>
        <v>0</v>
      </c>
      <c r="J114" t="str">
        <f>_xlfn.XLOOKUP(H114,'Place Profiles'!A:A,'Place Profiles'!C:C,"0")</f>
        <v>0</v>
      </c>
    </row>
    <row r="115" spans="1:10" x14ac:dyDescent="0.45">
      <c r="A115" t="str">
        <v>ID_00114</v>
      </c>
      <c r="B115" t="str">
        <v>1626/10/27</v>
      </c>
      <c r="C115" t="str">
        <v>Firenze/Fiorenza</v>
      </c>
      <c r="D115" s="10">
        <f>_xlfn.XLOOKUP(C115,'Place Profiles'!A:A,'Place Profiles'!B:B,"0")</f>
        <v>43.773821664204803</v>
      </c>
      <c r="E115" s="10">
        <f>_xlfn.XLOOKUP(C115,'Place Profiles'!A:A,'Place Profiles'!C:C,"0")</f>
        <v>11.2555362617661</v>
      </c>
      <c r="F115" t="str">
        <v>de' Medici, Carlo</v>
      </c>
      <c r="G115" t="str">
        <v>von Habsburg, Leopold</v>
      </c>
      <c r="H115" cm="1">
        <f t="array" ref="H115">_xlfn.LET(
_xlpm.t,$G115,
_xlpm.cands,_xlfn._xlws.FILTER('Place Profiles'!$G$2:$G$929,'Place Profiles'!$G$2:$G$929&lt;&gt;""),
_xlpm.counts,COUNTIFS('Raw Data'!$G$2:$G$501,_xlpm.t,'Raw Data'!$F$2:$F$501,_xlpm.cands),
_xlpm.mx,MAX(_xlpm.counts),
IF(_xlpm.mx=0,0,_xlfn.TEXTJOIN(" / ",TRUE,_xlfn._xlws.FILTER(_xlpm.cands,_xlpm.counts=_xlpm.mx)))
)</f>
        <v>0</v>
      </c>
      <c r="I115" t="str">
        <f>_xlfn.XLOOKUP(H115,'Place Profiles'!A:A,'Place Profiles'!B:B,"0")</f>
        <v>0</v>
      </c>
      <c r="J115" t="str">
        <f>_xlfn.XLOOKUP(H115,'Place Profiles'!A:A,'Place Profiles'!C:C,"0")</f>
        <v>0</v>
      </c>
    </row>
    <row r="116" spans="1:10" x14ac:dyDescent="0.45">
      <c r="A116" t="str">
        <v>ID_00115</v>
      </c>
      <c r="B116" t="str">
        <v>1626/10/31</v>
      </c>
      <c r="C116" t="str">
        <v>Firenze/Fiorenza</v>
      </c>
      <c r="D116" s="10">
        <f>_xlfn.XLOOKUP(C116,'Place Profiles'!A:A,'Place Profiles'!B:B,"0")</f>
        <v>43.773821664204803</v>
      </c>
      <c r="E116" s="10">
        <f>_xlfn.XLOOKUP(C116,'Place Profiles'!A:A,'Place Profiles'!C:C,"0")</f>
        <v>11.2555362617661</v>
      </c>
      <c r="F116" t="str">
        <v>de' Medici, Carlo</v>
      </c>
      <c r="G116" t="str">
        <v>de' Medici, Claudia</v>
      </c>
      <c r="H116" cm="1">
        <f t="array" ref="H116">_xlfn.LET(
_xlpm.t,$G116,
_xlpm.cands,_xlfn._xlws.FILTER('Place Profiles'!$G$2:$G$929,'Place Profiles'!$G$2:$G$929&lt;&gt;""),
_xlpm.counts,COUNTIFS('Raw Data'!$G$2:$G$501,_xlpm.t,'Raw Data'!$F$2:$F$501,_xlpm.cands),
_xlpm.mx,MAX(_xlpm.counts),
IF(_xlpm.mx=0,0,_xlfn.TEXTJOIN(" / ",TRUE,_xlfn._xlws.FILTER(_xlpm.cands,_xlpm.counts=_xlpm.mx)))
)</f>
        <v>0</v>
      </c>
      <c r="I116" t="str">
        <f>_xlfn.XLOOKUP(H116,'Place Profiles'!A:A,'Place Profiles'!B:B,"0")</f>
        <v>0</v>
      </c>
      <c r="J116" t="str">
        <f>_xlfn.XLOOKUP(H116,'Place Profiles'!A:A,'Place Profiles'!C:C,"0")</f>
        <v>0</v>
      </c>
    </row>
    <row r="117" spans="1:10" x14ac:dyDescent="0.45">
      <c r="A117" t="str">
        <v>ID_00116</v>
      </c>
      <c r="B117" t="str">
        <v>1626/12/19</v>
      </c>
      <c r="C117" t="str">
        <v>Firenze/Fiorenza</v>
      </c>
      <c r="D117" s="10">
        <f>_xlfn.XLOOKUP(C117,'Place Profiles'!A:A,'Place Profiles'!B:B,"0")</f>
        <v>43.773821664204803</v>
      </c>
      <c r="E117" s="10">
        <f>_xlfn.XLOOKUP(C117,'Place Profiles'!A:A,'Place Profiles'!C:C,"0")</f>
        <v>11.2555362617661</v>
      </c>
      <c r="F117" t="str">
        <v>de' Medici, Carlo</v>
      </c>
      <c r="G117" t="str">
        <v>de' Medici, Claudia</v>
      </c>
      <c r="H117" cm="1">
        <f t="array" ref="H117">_xlfn.LET(
_xlpm.t,$G117,
_xlpm.cands,_xlfn._xlws.FILTER('Place Profiles'!$G$2:$G$929,'Place Profiles'!$G$2:$G$929&lt;&gt;""),
_xlpm.counts,COUNTIFS('Raw Data'!$G$2:$G$501,_xlpm.t,'Raw Data'!$F$2:$F$501,_xlpm.cands),
_xlpm.mx,MAX(_xlpm.counts),
IF(_xlpm.mx=0,0,_xlfn.TEXTJOIN(" / ",TRUE,_xlfn._xlws.FILTER(_xlpm.cands,_xlpm.counts=_xlpm.mx)))
)</f>
        <v>0</v>
      </c>
      <c r="I117" t="str">
        <f>_xlfn.XLOOKUP(H117,'Place Profiles'!A:A,'Place Profiles'!B:B,"0")</f>
        <v>0</v>
      </c>
      <c r="J117" t="str">
        <f>_xlfn.XLOOKUP(H117,'Place Profiles'!A:A,'Place Profiles'!C:C,"0")</f>
        <v>0</v>
      </c>
    </row>
    <row r="118" spans="1:10" x14ac:dyDescent="0.45">
      <c r="A118" t="str">
        <v>ID_00117</v>
      </c>
      <c r="B118" t="str">
        <v>1624/04/12</v>
      </c>
      <c r="C118" t="str">
        <v>Pisa</v>
      </c>
      <c r="D118" s="10">
        <f>_xlfn.XLOOKUP(C118,'Place Profiles'!A:A,'Place Profiles'!B:B,"0")</f>
        <v>43.722514463828503</v>
      </c>
      <c r="E118" s="10">
        <f>_xlfn.XLOOKUP(C118,'Place Profiles'!A:A,'Place Profiles'!C:C,"0")</f>
        <v>10.3960522879613</v>
      </c>
      <c r="F118" t="str">
        <v>von Habsburg, Maria Magdalena</v>
      </c>
      <c r="G118" t="str">
        <v>de' Medici, Claudia</v>
      </c>
      <c r="H118" cm="1">
        <f t="array" ref="H118">_xlfn.LET(
_xlpm.t,$G118,
_xlpm.cands,_xlfn._xlws.FILTER('Place Profiles'!$G$2:$G$929,'Place Profiles'!$G$2:$G$929&lt;&gt;""),
_xlpm.counts,COUNTIFS('Raw Data'!$G$2:$G$501,_xlpm.t,'Raw Data'!$F$2:$F$501,_xlpm.cands),
_xlpm.mx,MAX(_xlpm.counts),
IF(_xlpm.mx=0,0,_xlfn.TEXTJOIN(" / ",TRUE,_xlfn._xlws.FILTER(_xlpm.cands,_xlpm.counts=_xlpm.mx)))
)</f>
        <v>0</v>
      </c>
      <c r="I118" t="str">
        <f>_xlfn.XLOOKUP(H118,'Place Profiles'!A:A,'Place Profiles'!B:B,"0")</f>
        <v>0</v>
      </c>
      <c r="J118" t="str">
        <f>_xlfn.XLOOKUP(H118,'Place Profiles'!A:A,'Place Profiles'!C:C,"0")</f>
        <v>0</v>
      </c>
    </row>
    <row r="119" spans="1:10" x14ac:dyDescent="0.45">
      <c r="A119" t="str">
        <v>ID_00118</v>
      </c>
      <c r="B119" t="str">
        <v>1626/05/13</v>
      </c>
      <c r="C119" t="str">
        <v>Firenze nel Monasterio della Santissima Concezzione</v>
      </c>
      <c r="D119" s="10">
        <f>_xlfn.XLOOKUP(C119,'Place Profiles'!A:A,'Place Profiles'!B:B,"0")</f>
        <v>43.774665987001399</v>
      </c>
      <c r="E119" s="10">
        <f>_xlfn.XLOOKUP(C119,'Place Profiles'!A:A,'Place Profiles'!C:C,"0")</f>
        <v>11.2470152763676</v>
      </c>
      <c r="F119" t="str">
        <v>de' Medici, Maria Cristiana</v>
      </c>
      <c r="G119" t="str">
        <v>de' Medici, Claudia</v>
      </c>
      <c r="H119" cm="1">
        <f t="array" ref="H119">_xlfn.LET(
_xlpm.t,$G119,
_xlpm.cands,_xlfn._xlws.FILTER('Place Profiles'!$G$2:$G$929,'Place Profiles'!$G$2:$G$929&lt;&gt;""),
_xlpm.counts,COUNTIFS('Raw Data'!$G$2:$G$501,_xlpm.t,'Raw Data'!$F$2:$F$501,_xlpm.cands),
_xlpm.mx,MAX(_xlpm.counts),
IF(_xlpm.mx=0,0,_xlfn.TEXTJOIN(" / ",TRUE,_xlfn._xlws.FILTER(_xlpm.cands,_xlpm.counts=_xlpm.mx)))
)</f>
        <v>0</v>
      </c>
      <c r="I119" t="str">
        <f>_xlfn.XLOOKUP(H119,'Place Profiles'!A:A,'Place Profiles'!B:B,"0")</f>
        <v>0</v>
      </c>
      <c r="J119" t="str">
        <f>_xlfn.XLOOKUP(H119,'Place Profiles'!A:A,'Place Profiles'!C:C,"0")</f>
        <v>0</v>
      </c>
    </row>
    <row r="120" spans="1:10" x14ac:dyDescent="0.45">
      <c r="A120" t="str">
        <v>ID_00119</v>
      </c>
      <c r="B120" t="str">
        <v>1627/02/11</v>
      </c>
      <c r="C120" t="str">
        <v>Mantova</v>
      </c>
      <c r="D120" s="10">
        <f>_xlfn.XLOOKUP(C120,'Place Profiles'!A:A,'Place Profiles'!B:B,"0")</f>
        <v>45.156437254514501</v>
      </c>
      <c r="E120" s="10">
        <f>_xlfn.XLOOKUP(C120,'Place Profiles'!A:A,'Place Profiles'!C:C,"0")</f>
        <v>10.7914436839782</v>
      </c>
      <c r="F120" t="str">
        <v>de' Medici, Caterina</v>
      </c>
      <c r="G120" t="str">
        <v>de' Medici, Claudia</v>
      </c>
      <c r="H120" cm="1">
        <f t="array" ref="H120">_xlfn.LET(
_xlpm.t,$G120,
_xlpm.cands,_xlfn._xlws.FILTER('Place Profiles'!$G$2:$G$929,'Place Profiles'!$G$2:$G$929&lt;&gt;""),
_xlpm.counts,COUNTIFS('Raw Data'!$G$2:$G$501,_xlpm.t,'Raw Data'!$F$2:$F$501,_xlpm.cands),
_xlpm.mx,MAX(_xlpm.counts),
IF(_xlpm.mx=0,0,_xlfn.TEXTJOIN(" / ",TRUE,_xlfn._xlws.FILTER(_xlpm.cands,_xlpm.counts=_xlpm.mx)))
)</f>
        <v>0</v>
      </c>
      <c r="I120" t="str">
        <f>_xlfn.XLOOKUP(H120,'Place Profiles'!A:A,'Place Profiles'!B:B,"0")</f>
        <v>0</v>
      </c>
      <c r="J120" t="str">
        <f>_xlfn.XLOOKUP(H120,'Place Profiles'!A:A,'Place Profiles'!C:C,"0")</f>
        <v>0</v>
      </c>
    </row>
    <row r="121" spans="1:10" x14ac:dyDescent="0.45">
      <c r="A121" t="str">
        <v>ID_00120</v>
      </c>
      <c r="B121" t="str">
        <v>1626/02/15</v>
      </c>
      <c r="C121" t="str">
        <v>Pisa</v>
      </c>
      <c r="D121" s="10">
        <f>_xlfn.XLOOKUP(C121,'Place Profiles'!A:A,'Place Profiles'!B:B,"0")</f>
        <v>43.722514463828503</v>
      </c>
      <c r="E121" s="10">
        <f>_xlfn.XLOOKUP(C121,'Place Profiles'!A:A,'Place Profiles'!C:C,"0")</f>
        <v>10.3960522879613</v>
      </c>
      <c r="F121" t="str">
        <v>de' Medici, Lorenzo</v>
      </c>
      <c r="G121" t="str">
        <v>de' Medici, Claudia</v>
      </c>
      <c r="H121" cm="1">
        <f t="array" ref="H121">_xlfn.LET(
_xlpm.t,$G121,
_xlpm.cands,_xlfn._xlws.FILTER('Place Profiles'!$G$2:$G$929,'Place Profiles'!$G$2:$G$929&lt;&gt;""),
_xlpm.counts,COUNTIFS('Raw Data'!$G$2:$G$501,_xlpm.t,'Raw Data'!$F$2:$F$501,_xlpm.cands),
_xlpm.mx,MAX(_xlpm.counts),
IF(_xlpm.mx=0,0,_xlfn.TEXTJOIN(" / ",TRUE,_xlfn._xlws.FILTER(_xlpm.cands,_xlpm.counts=_xlpm.mx)))
)</f>
        <v>0</v>
      </c>
      <c r="I121" t="str">
        <f>_xlfn.XLOOKUP(H121,'Place Profiles'!A:A,'Place Profiles'!B:B,"0")</f>
        <v>0</v>
      </c>
      <c r="J121" t="str">
        <f>_xlfn.XLOOKUP(H121,'Place Profiles'!A:A,'Place Profiles'!C:C,"0")</f>
        <v>0</v>
      </c>
    </row>
    <row r="122" spans="1:10" x14ac:dyDescent="0.45">
      <c r="A122" t="str">
        <v>ID_00121</v>
      </c>
      <c r="B122" t="str">
        <v>1626/03/08</v>
      </c>
      <c r="C122" t="str">
        <v>Pisa</v>
      </c>
      <c r="D122" s="10">
        <f>_xlfn.XLOOKUP(C122,'Place Profiles'!A:A,'Place Profiles'!B:B,"0")</f>
        <v>43.722514463828503</v>
      </c>
      <c r="E122" s="10">
        <f>_xlfn.XLOOKUP(C122,'Place Profiles'!A:A,'Place Profiles'!C:C,"0")</f>
        <v>10.3960522879613</v>
      </c>
      <c r="F122" t="str">
        <v>de' Medici, Lorenzo</v>
      </c>
      <c r="G122" t="str">
        <v>de' Medici, Claudia</v>
      </c>
      <c r="H122" cm="1">
        <f t="array" ref="H122">_xlfn.LET(
_xlpm.t,$G122,
_xlpm.cands,_xlfn._xlws.FILTER('Place Profiles'!$G$2:$G$929,'Place Profiles'!$G$2:$G$929&lt;&gt;""),
_xlpm.counts,COUNTIFS('Raw Data'!$G$2:$G$501,_xlpm.t,'Raw Data'!$F$2:$F$501,_xlpm.cands),
_xlpm.mx,MAX(_xlpm.counts),
IF(_xlpm.mx=0,0,_xlfn.TEXTJOIN(" / ",TRUE,_xlfn._xlws.FILTER(_xlpm.cands,_xlpm.counts=_xlpm.mx)))
)</f>
        <v>0</v>
      </c>
      <c r="I122" t="str">
        <f>_xlfn.XLOOKUP(H122,'Place Profiles'!A:A,'Place Profiles'!B:B,"0")</f>
        <v>0</v>
      </c>
      <c r="J122" t="str">
        <f>_xlfn.XLOOKUP(H122,'Place Profiles'!A:A,'Place Profiles'!C:C,"0")</f>
        <v>0</v>
      </c>
    </row>
    <row r="123" spans="1:10" x14ac:dyDescent="0.45">
      <c r="A123" t="str">
        <v>ID_00122</v>
      </c>
      <c r="B123" t="str">
        <v>1624/07/26</v>
      </c>
      <c r="C123" t="str">
        <v>Firenze/Fiorenza</v>
      </c>
      <c r="D123" s="10">
        <f>_xlfn.XLOOKUP(C123,'Place Profiles'!A:A,'Place Profiles'!B:B,"0")</f>
        <v>43.773821664204803</v>
      </c>
      <c r="E123" s="10">
        <f>_xlfn.XLOOKUP(C123,'Place Profiles'!A:A,'Place Profiles'!C:C,"0")</f>
        <v>11.2555362617661</v>
      </c>
      <c r="F123" t="str">
        <v>von Habsburg, Maria Magdalena</v>
      </c>
      <c r="G123" t="str">
        <v>di Borbone, Elisabetta</v>
      </c>
      <c r="H123" cm="1">
        <f t="array" ref="H123">_xlfn.LET(
_xlpm.t,$G123,
_xlpm.cands,_xlfn._xlws.FILTER('Place Profiles'!$G$2:$G$929,'Place Profiles'!$G$2:$G$929&lt;&gt;""),
_xlpm.counts,COUNTIFS('Raw Data'!$G$2:$G$501,_xlpm.t,'Raw Data'!$F$2:$F$501,_xlpm.cands),
_xlpm.mx,MAX(_xlpm.counts),
IF(_xlpm.mx=0,0,_xlfn.TEXTJOIN(" / ",TRUE,_xlfn._xlws.FILTER(_xlpm.cands,_xlpm.counts=_xlpm.mx)))
)</f>
        <v>0</v>
      </c>
      <c r="I123" t="str">
        <f>_xlfn.XLOOKUP(H123,'Place Profiles'!A:A,'Place Profiles'!B:B,"0")</f>
        <v>0</v>
      </c>
      <c r="J123" t="str">
        <f>_xlfn.XLOOKUP(H123,'Place Profiles'!A:A,'Place Profiles'!C:C,"0")</f>
        <v>0</v>
      </c>
    </row>
    <row r="124" spans="1:10" x14ac:dyDescent="0.45">
      <c r="A124" t="str">
        <v>ID_00123</v>
      </c>
      <c r="B124" t="str">
        <v>1624/07/26</v>
      </c>
      <c r="C124" t="str">
        <v>Firenze/Fiorenza</v>
      </c>
      <c r="D124" s="10">
        <f>_xlfn.XLOOKUP(C124,'Place Profiles'!A:A,'Place Profiles'!B:B,"0")</f>
        <v>43.773821664204803</v>
      </c>
      <c r="E124" s="10">
        <f>_xlfn.XLOOKUP(C124,'Place Profiles'!A:A,'Place Profiles'!C:C,"0")</f>
        <v>11.2555362617661</v>
      </c>
      <c r="F124" t="str">
        <v>von Habsburg, Maria Magdalena</v>
      </c>
      <c r="G124" t="str">
        <v>di Borbone, Elisabetta</v>
      </c>
      <c r="H124" cm="1">
        <f t="array" ref="H124">_xlfn.LET(
_xlpm.t,$G124,
_xlpm.cands,_xlfn._xlws.FILTER('Place Profiles'!$G$2:$G$929,'Place Profiles'!$G$2:$G$929&lt;&gt;""),
_xlpm.counts,COUNTIFS('Raw Data'!$G$2:$G$501,_xlpm.t,'Raw Data'!$F$2:$F$501,_xlpm.cands),
_xlpm.mx,MAX(_xlpm.counts),
IF(_xlpm.mx=0,0,_xlfn.TEXTJOIN(" / ",TRUE,_xlfn._xlws.FILTER(_xlpm.cands,_xlpm.counts=_xlpm.mx)))
)</f>
        <v>0</v>
      </c>
      <c r="I124" t="str">
        <f>_xlfn.XLOOKUP(H124,'Place Profiles'!A:A,'Place Profiles'!B:B,"0")</f>
        <v>0</v>
      </c>
      <c r="J124" t="str">
        <f>_xlfn.XLOOKUP(H124,'Place Profiles'!A:A,'Place Profiles'!C:C,"0")</f>
        <v>0</v>
      </c>
    </row>
    <row r="125" spans="1:10" x14ac:dyDescent="0.45">
      <c r="A125" t="str">
        <v>ID_00124</v>
      </c>
      <c r="B125" t="str">
        <v>1613/10/11</v>
      </c>
      <c r="C125" t="str">
        <v>Cortona</v>
      </c>
      <c r="D125" s="10">
        <f>_xlfn.XLOOKUP(C125,'Place Profiles'!A:A,'Place Profiles'!B:B,"0")</f>
        <v>43.274837025321901</v>
      </c>
      <c r="E125" s="10">
        <f>_xlfn.XLOOKUP(C125,'Place Profiles'!A:A,'Place Profiles'!C:C,"0")</f>
        <v>11.985709335848499</v>
      </c>
      <c r="F125" t="str">
        <v>von Habsburg, Maria Magdalena</v>
      </c>
      <c r="G125" t="str">
        <v>de' Medici, Cosimo II</v>
      </c>
      <c r="H125" cm="1">
        <f t="array" ref="H125">_xlfn.LET(
_xlpm.t,$G125,
_xlpm.cands,_xlfn._xlws.FILTER('Place Profiles'!$G$2:$G$929,'Place Profiles'!$G$2:$G$929&lt;&gt;""),
_xlpm.counts,COUNTIFS('Raw Data'!$G$2:$G$501,_xlpm.t,'Raw Data'!$F$2:$F$501,_xlpm.cands),
_xlpm.mx,MAX(_xlpm.counts),
IF(_xlpm.mx=0,0,_xlfn.TEXTJOIN(" / ",TRUE,_xlfn._xlws.FILTER(_xlpm.cands,_xlpm.counts=_xlpm.mx)))
)</f>
        <v>0</v>
      </c>
      <c r="I125" t="str">
        <f>_xlfn.XLOOKUP(H125,'Place Profiles'!A:A,'Place Profiles'!B:B,"0")</f>
        <v>0</v>
      </c>
      <c r="J125" t="str">
        <f>_xlfn.XLOOKUP(H125,'Place Profiles'!A:A,'Place Profiles'!C:C,"0")</f>
        <v>0</v>
      </c>
    </row>
    <row r="126" spans="1:10" x14ac:dyDescent="0.45">
      <c r="A126" t="str">
        <v>ID_00125</v>
      </c>
      <c r="B126" t="str">
        <v>1613/10/12</v>
      </c>
      <c r="C126" t="str">
        <v>Perugia</v>
      </c>
      <c r="D126" s="10">
        <f>_xlfn.XLOOKUP(C126,'Place Profiles'!A:A,'Place Profiles'!B:B,"0")</f>
        <v>43.104930797885402</v>
      </c>
      <c r="E126" s="10">
        <f>_xlfn.XLOOKUP(C126,'Place Profiles'!A:A,'Place Profiles'!C:C,"0")</f>
        <v>12.387000247888899</v>
      </c>
      <c r="F126" t="str">
        <v>von Habsburg, Maria Magdalena</v>
      </c>
      <c r="G126" t="str">
        <v>di Lorena, Cristina</v>
      </c>
      <c r="H126" t="str" cm="1">
        <f t="array" ref="H126">_xlfn.LET(
_xlpm.t,$G126,
_xlpm.cands,_xlfn._xlws.FILTER('Place Profiles'!$G$2:$G$929,'Place Profiles'!$G$2:$G$929&lt;&gt;""),
_xlpm.counts,COUNTIFS('Raw Data'!$G$2:$G$501,_xlpm.t,'Raw Data'!$F$2:$F$501,_xlpm.cands),
_xlpm.mx,MAX(_xlpm.counts),
IF(_xlpm.mx=0,0,_xlfn.TEXTJOIN(" / ",TRUE,_xlfn._xlws.FILTER(_xlpm.cands,_xlpm.counts=_xlpm.mx)))
)</f>
        <v>Firenze/Fiorenza</v>
      </c>
      <c r="I126">
        <f>_xlfn.XLOOKUP(H126,'Place Profiles'!A:A,'Place Profiles'!B:B,"0")</f>
        <v>43.773821664204803</v>
      </c>
      <c r="J126">
        <f>_xlfn.XLOOKUP(H126,'Place Profiles'!A:A,'Place Profiles'!C:C,"0")</f>
        <v>11.2555362617661</v>
      </c>
    </row>
    <row r="127" spans="1:10" x14ac:dyDescent="0.45">
      <c r="A127" t="str">
        <v>ID_00126</v>
      </c>
      <c r="B127" t="str">
        <v>1613/10/13</v>
      </c>
      <c r="C127" t="str">
        <v>Perugia</v>
      </c>
      <c r="D127" s="10">
        <f>_xlfn.XLOOKUP(C127,'Place Profiles'!A:A,'Place Profiles'!B:B,"0")</f>
        <v>43.104930797885402</v>
      </c>
      <c r="E127" s="10">
        <f>_xlfn.XLOOKUP(C127,'Place Profiles'!A:A,'Place Profiles'!C:C,"0")</f>
        <v>12.387000247888899</v>
      </c>
      <c r="F127" t="str">
        <v>von Habsburg, Maria Magdalena</v>
      </c>
      <c r="G127" t="str">
        <v>de' Medici, Cosimo II</v>
      </c>
      <c r="H127" cm="1">
        <f t="array" ref="H127">_xlfn.LET(
_xlpm.t,$G127,
_xlpm.cands,_xlfn._xlws.FILTER('Place Profiles'!$G$2:$G$929,'Place Profiles'!$G$2:$G$929&lt;&gt;""),
_xlpm.counts,COUNTIFS('Raw Data'!$G$2:$G$501,_xlpm.t,'Raw Data'!$F$2:$F$501,_xlpm.cands),
_xlpm.mx,MAX(_xlpm.counts),
IF(_xlpm.mx=0,0,_xlfn.TEXTJOIN(" / ",TRUE,_xlfn._xlws.FILTER(_xlpm.cands,_xlpm.counts=_xlpm.mx)))
)</f>
        <v>0</v>
      </c>
      <c r="I127" t="str">
        <f>_xlfn.XLOOKUP(H127,'Place Profiles'!A:A,'Place Profiles'!B:B,"0")</f>
        <v>0</v>
      </c>
      <c r="J127" t="str">
        <f>_xlfn.XLOOKUP(H127,'Place Profiles'!A:A,'Place Profiles'!C:C,"0")</f>
        <v>0</v>
      </c>
    </row>
    <row r="128" spans="1:10" x14ac:dyDescent="0.45">
      <c r="A128" t="str">
        <v>ID_00127</v>
      </c>
      <c r="B128" t="str">
        <v>1613/10/14</v>
      </c>
      <c r="C128" t="str">
        <v>Perugia</v>
      </c>
      <c r="D128" s="10">
        <f>_xlfn.XLOOKUP(C128,'Place Profiles'!A:A,'Place Profiles'!B:B,"0")</f>
        <v>43.104930797885402</v>
      </c>
      <c r="E128" s="10">
        <f>_xlfn.XLOOKUP(C128,'Place Profiles'!A:A,'Place Profiles'!C:C,"0")</f>
        <v>12.387000247888899</v>
      </c>
      <c r="F128" t="str">
        <v>von Habsburg, Maria Magdalena</v>
      </c>
      <c r="G128" t="str">
        <v>de' Medici, Cosimo II</v>
      </c>
      <c r="H128" cm="1">
        <f t="array" ref="H128">_xlfn.LET(
_xlpm.t,$G128,
_xlpm.cands,_xlfn._xlws.FILTER('Place Profiles'!$G$2:$G$929,'Place Profiles'!$G$2:$G$929&lt;&gt;""),
_xlpm.counts,COUNTIFS('Raw Data'!$G$2:$G$501,_xlpm.t,'Raw Data'!$F$2:$F$501,_xlpm.cands),
_xlpm.mx,MAX(_xlpm.counts),
IF(_xlpm.mx=0,0,_xlfn.TEXTJOIN(" / ",TRUE,_xlfn._xlws.FILTER(_xlpm.cands,_xlpm.counts=_xlpm.mx)))
)</f>
        <v>0</v>
      </c>
      <c r="I128" t="str">
        <f>_xlfn.XLOOKUP(H128,'Place Profiles'!A:A,'Place Profiles'!B:B,"0")</f>
        <v>0</v>
      </c>
      <c r="J128" t="str">
        <f>_xlfn.XLOOKUP(H128,'Place Profiles'!A:A,'Place Profiles'!C:C,"0")</f>
        <v>0</v>
      </c>
    </row>
    <row r="129" spans="1:10" x14ac:dyDescent="0.45">
      <c r="A129" t="str">
        <v>ID_00128</v>
      </c>
      <c r="B129" t="str">
        <v>1613/10/14</v>
      </c>
      <c r="C129" t="str">
        <v>Perugia</v>
      </c>
      <c r="D129" s="10">
        <f>_xlfn.XLOOKUP(C129,'Place Profiles'!A:A,'Place Profiles'!B:B,"0")</f>
        <v>43.104930797885402</v>
      </c>
      <c r="E129" s="10">
        <f>_xlfn.XLOOKUP(C129,'Place Profiles'!A:A,'Place Profiles'!C:C,"0")</f>
        <v>12.387000247888899</v>
      </c>
      <c r="F129" t="str">
        <v>de' Medici, Giovanni</v>
      </c>
      <c r="G129" t="str">
        <v>de' Medici, Cosimo II</v>
      </c>
      <c r="H129" cm="1">
        <f t="array" ref="H129">_xlfn.LET(
_xlpm.t,$G129,
_xlpm.cands,_xlfn._xlws.FILTER('Place Profiles'!$G$2:$G$929,'Place Profiles'!$G$2:$G$929&lt;&gt;""),
_xlpm.counts,COUNTIFS('Raw Data'!$G$2:$G$501,_xlpm.t,'Raw Data'!$F$2:$F$501,_xlpm.cands),
_xlpm.mx,MAX(_xlpm.counts),
IF(_xlpm.mx=0,0,_xlfn.TEXTJOIN(" / ",TRUE,_xlfn._xlws.FILTER(_xlpm.cands,_xlpm.counts=_xlpm.mx)))
)</f>
        <v>0</v>
      </c>
      <c r="I129" t="str">
        <f>_xlfn.XLOOKUP(H129,'Place Profiles'!A:A,'Place Profiles'!B:B,"0")</f>
        <v>0</v>
      </c>
      <c r="J129" t="str">
        <f>_xlfn.XLOOKUP(H129,'Place Profiles'!A:A,'Place Profiles'!C:C,"0")</f>
        <v>0</v>
      </c>
    </row>
    <row r="130" spans="1:10" x14ac:dyDescent="0.45">
      <c r="A130" t="str">
        <v>ID_00129</v>
      </c>
      <c r="B130" t="str">
        <v>1613/10/15</v>
      </c>
      <c r="C130" t="str">
        <v>Fuligno</v>
      </c>
      <c r="D130" s="10">
        <f>_xlfn.XLOOKUP(C130,'Place Profiles'!A:A,'Place Profiles'!B:B,"0")</f>
        <v>42.950970884409202</v>
      </c>
      <c r="E130" s="10">
        <f>_xlfn.XLOOKUP(C130,'Place Profiles'!A:A,'Place Profiles'!C:C,"0")</f>
        <v>12.701172673566299</v>
      </c>
      <c r="F130" t="str">
        <v>von Habsburg, Maria Magdalena</v>
      </c>
      <c r="G130" t="str">
        <v>de' Medici, Cosimo II</v>
      </c>
      <c r="H130" cm="1">
        <f t="array" ref="H130">_xlfn.LET(
_xlpm.t,$G130,
_xlpm.cands,_xlfn._xlws.FILTER('Place Profiles'!$G$2:$G$929,'Place Profiles'!$G$2:$G$929&lt;&gt;""),
_xlpm.counts,COUNTIFS('Raw Data'!$G$2:$G$501,_xlpm.t,'Raw Data'!$F$2:$F$501,_xlpm.cands),
_xlpm.mx,MAX(_xlpm.counts),
IF(_xlpm.mx=0,0,_xlfn.TEXTJOIN(" / ",TRUE,_xlfn._xlws.FILTER(_xlpm.cands,_xlpm.counts=_xlpm.mx)))
)</f>
        <v>0</v>
      </c>
      <c r="I130" t="str">
        <f>_xlfn.XLOOKUP(H130,'Place Profiles'!A:A,'Place Profiles'!B:B,"0")</f>
        <v>0</v>
      </c>
      <c r="J130" t="str">
        <f>_xlfn.XLOOKUP(H130,'Place Profiles'!A:A,'Place Profiles'!C:C,"0")</f>
        <v>0</v>
      </c>
    </row>
    <row r="131" spans="1:10" x14ac:dyDescent="0.45">
      <c r="A131" t="str">
        <v>ID_00130</v>
      </c>
      <c r="B131" t="str">
        <v>1613/10/15</v>
      </c>
      <c r="C131" t="str">
        <v>Fuligno</v>
      </c>
      <c r="D131" s="10">
        <f>_xlfn.XLOOKUP(C131,'Place Profiles'!A:A,'Place Profiles'!B:B,"0")</f>
        <v>42.950970884409202</v>
      </c>
      <c r="E131" s="10">
        <f>_xlfn.XLOOKUP(C131,'Place Profiles'!A:A,'Place Profiles'!C:C,"0")</f>
        <v>12.701172673566299</v>
      </c>
      <c r="F131" t="str">
        <v>de' Medici, Giovanni</v>
      </c>
      <c r="G131" t="str">
        <v>de' Medici, Cosimo II</v>
      </c>
      <c r="H131" cm="1">
        <f t="array" ref="H131">_xlfn.LET(
_xlpm.t,$G131,
_xlpm.cands,_xlfn._xlws.FILTER('Place Profiles'!$G$2:$G$929,'Place Profiles'!$G$2:$G$929&lt;&gt;""),
_xlpm.counts,COUNTIFS('Raw Data'!$G$2:$G$501,_xlpm.t,'Raw Data'!$F$2:$F$501,_xlpm.cands),
_xlpm.mx,MAX(_xlpm.counts),
IF(_xlpm.mx=0,0,_xlfn.TEXTJOIN(" / ",TRUE,_xlfn._xlws.FILTER(_xlpm.cands,_xlpm.counts=_xlpm.mx)))
)</f>
        <v>0</v>
      </c>
      <c r="I131" t="str">
        <f>_xlfn.XLOOKUP(H131,'Place Profiles'!A:A,'Place Profiles'!B:B,"0")</f>
        <v>0</v>
      </c>
      <c r="J131" t="str">
        <f>_xlfn.XLOOKUP(H131,'Place Profiles'!A:A,'Place Profiles'!C:C,"0")</f>
        <v>0</v>
      </c>
    </row>
    <row r="132" spans="1:10" x14ac:dyDescent="0.45">
      <c r="A132" t="str">
        <v>ID_00131</v>
      </c>
      <c r="B132" t="str">
        <v>1613/10/16</v>
      </c>
      <c r="C132" t="str">
        <v>Case Nuove</v>
      </c>
      <c r="D132" s="10">
        <f>_xlfn.XLOOKUP(C132,'Place Profiles'!A:A,'Place Profiles'!B:B,"0")</f>
        <v>0</v>
      </c>
      <c r="E132" s="10">
        <f>_xlfn.XLOOKUP(C132,'Place Profiles'!A:A,'Place Profiles'!C:C,"0")</f>
        <v>0</v>
      </c>
      <c r="F132" t="str">
        <v>de' Medici, Giovanni</v>
      </c>
      <c r="G132" t="str">
        <v>de' Medici, Cosimo II</v>
      </c>
      <c r="H132" cm="1">
        <f t="array" ref="H132">_xlfn.LET(
_xlpm.t,$G132,
_xlpm.cands,_xlfn._xlws.FILTER('Place Profiles'!$G$2:$G$929,'Place Profiles'!$G$2:$G$929&lt;&gt;""),
_xlpm.counts,COUNTIFS('Raw Data'!$G$2:$G$501,_xlpm.t,'Raw Data'!$F$2:$F$501,_xlpm.cands),
_xlpm.mx,MAX(_xlpm.counts),
IF(_xlpm.mx=0,0,_xlfn.TEXTJOIN(" / ",TRUE,_xlfn._xlws.FILTER(_xlpm.cands,_xlpm.counts=_xlpm.mx)))
)</f>
        <v>0</v>
      </c>
      <c r="I132" t="str">
        <f>_xlfn.XLOOKUP(H132,'Place Profiles'!A:A,'Place Profiles'!B:B,"0")</f>
        <v>0</v>
      </c>
      <c r="J132" t="str">
        <f>_xlfn.XLOOKUP(H132,'Place Profiles'!A:A,'Place Profiles'!C:C,"0")</f>
        <v>0</v>
      </c>
    </row>
    <row r="133" spans="1:10" x14ac:dyDescent="0.45">
      <c r="A133" t="str">
        <v>ID_00132</v>
      </c>
      <c r="B133" t="str">
        <v>1613/10/17</v>
      </c>
      <c r="C133" t="str">
        <v>Camerino</v>
      </c>
      <c r="D133" s="10">
        <f>_xlfn.XLOOKUP(C133,'Place Profiles'!A:A,'Place Profiles'!B:B,"0")</f>
        <v>43.137836364893403</v>
      </c>
      <c r="E133" s="10">
        <f>_xlfn.XLOOKUP(C133,'Place Profiles'!A:A,'Place Profiles'!C:C,"0")</f>
        <v>13.0729129154824</v>
      </c>
      <c r="F133" t="str">
        <v>de' Medici, Giovanni</v>
      </c>
      <c r="G133" t="str">
        <v>de' Medici, Cosimo II</v>
      </c>
      <c r="H133" cm="1">
        <f t="array" ref="H133">_xlfn.LET(
_xlpm.t,$G133,
_xlpm.cands,_xlfn._xlws.FILTER('Place Profiles'!$G$2:$G$929,'Place Profiles'!$G$2:$G$929&lt;&gt;""),
_xlpm.counts,COUNTIFS('Raw Data'!$G$2:$G$501,_xlpm.t,'Raw Data'!$F$2:$F$501,_xlpm.cands),
_xlpm.mx,MAX(_xlpm.counts),
IF(_xlpm.mx=0,0,_xlfn.TEXTJOIN(" / ",TRUE,_xlfn._xlws.FILTER(_xlpm.cands,_xlpm.counts=_xlpm.mx)))
)</f>
        <v>0</v>
      </c>
      <c r="I133" t="str">
        <f>_xlfn.XLOOKUP(H133,'Place Profiles'!A:A,'Place Profiles'!B:B,"0")</f>
        <v>0</v>
      </c>
      <c r="J133" t="str">
        <f>_xlfn.XLOOKUP(H133,'Place Profiles'!A:A,'Place Profiles'!C:C,"0")</f>
        <v>0</v>
      </c>
    </row>
    <row r="134" spans="1:10" x14ac:dyDescent="0.45">
      <c r="A134" t="str">
        <v>ID_00133</v>
      </c>
      <c r="B134" t="str">
        <v>1613/10/18</v>
      </c>
      <c r="C134" t="str">
        <v>Macerata</v>
      </c>
      <c r="D134" s="10">
        <f>_xlfn.XLOOKUP(C134,'Place Profiles'!A:A,'Place Profiles'!B:B,"0")</f>
        <v>43.299361166941502</v>
      </c>
      <c r="E134" s="10">
        <f>_xlfn.XLOOKUP(C134,'Place Profiles'!A:A,'Place Profiles'!C:C,"0")</f>
        <v>13.4480972379504</v>
      </c>
      <c r="F134" t="str">
        <v>de' Medici, Giovanni</v>
      </c>
      <c r="G134" t="str">
        <v>de' Medici, Cosimo II</v>
      </c>
      <c r="H134" cm="1">
        <f t="array" ref="H134">_xlfn.LET(
_xlpm.t,$G134,
_xlpm.cands,_xlfn._xlws.FILTER('Place Profiles'!$G$2:$G$929,'Place Profiles'!$G$2:$G$929&lt;&gt;""),
_xlpm.counts,COUNTIFS('Raw Data'!$G$2:$G$501,_xlpm.t,'Raw Data'!$F$2:$F$501,_xlpm.cands),
_xlpm.mx,MAX(_xlpm.counts),
IF(_xlpm.mx=0,0,_xlfn.TEXTJOIN(" / ",TRUE,_xlfn._xlws.FILTER(_xlpm.cands,_xlpm.counts=_xlpm.mx)))
)</f>
        <v>0</v>
      </c>
      <c r="I134" t="str">
        <f>_xlfn.XLOOKUP(H134,'Place Profiles'!A:A,'Place Profiles'!B:B,"0")</f>
        <v>0</v>
      </c>
      <c r="J134" t="str">
        <f>_xlfn.XLOOKUP(H134,'Place Profiles'!A:A,'Place Profiles'!C:C,"0")</f>
        <v>0</v>
      </c>
    </row>
    <row r="135" spans="1:10" x14ac:dyDescent="0.45">
      <c r="A135" t="str">
        <v>ID_00134</v>
      </c>
      <c r="B135" t="str">
        <v>1613/10/18</v>
      </c>
      <c r="C135" t="str">
        <v>Tolentino</v>
      </c>
      <c r="D135" s="10">
        <f>_xlfn.XLOOKUP(C135,'Place Profiles'!A:A,'Place Profiles'!B:B,"0")</f>
        <v>43.208691988684102</v>
      </c>
      <c r="E135" s="10">
        <f>_xlfn.XLOOKUP(C135,'Place Profiles'!A:A,'Place Profiles'!C:C,"0")</f>
        <v>13.283854110664301</v>
      </c>
      <c r="F135" t="str">
        <v>de' Medici, Giovanni</v>
      </c>
      <c r="G135" t="str">
        <v>Unknown</v>
      </c>
      <c r="H135" t="str" cm="1">
        <f t="array" ref="H135">_xlfn.LET(
_xlpm.t,$G135,
_xlpm.cands,_xlfn._xlws.FILTER('Place Profiles'!$G$2:$G$929,'Place Profiles'!$G$2:$G$929&lt;&gt;""),
_xlpm.counts,COUNTIFS('Raw Data'!$G$2:$G$501,_xlpm.t,'Raw Data'!$F$2:$F$501,_xlpm.cands),
_xlpm.mx,MAX(_xlpm.counts),
IF(_xlpm.mx=0,0,_xlfn.TEXTJOIN(" / ",TRUE,_xlfn._xlws.FILTER(_xlpm.cands,_xlpm.counts=_xlpm.mx)))
)</f>
        <v>Unknown</v>
      </c>
      <c r="I135">
        <f>_xlfn.XLOOKUP(H135,'Place Profiles'!A:A,'Place Profiles'!B:B,"0")</f>
        <v>0</v>
      </c>
      <c r="J135">
        <f>_xlfn.XLOOKUP(H135,'Place Profiles'!A:A,'Place Profiles'!C:C,"0")</f>
        <v>0</v>
      </c>
    </row>
    <row r="136" spans="1:10" x14ac:dyDescent="0.45">
      <c r="A136" t="str">
        <v>ID_00135</v>
      </c>
      <c r="B136" t="str">
        <v>1613/10/19</v>
      </c>
      <c r="C136" t="str">
        <v>Santa Casa</v>
      </c>
      <c r="D136" s="10">
        <f>_xlfn.XLOOKUP(C136,'Place Profiles'!A:A,'Place Profiles'!B:B,"0")</f>
        <v>43.4411641213837</v>
      </c>
      <c r="E136" s="10">
        <f>_xlfn.XLOOKUP(C136,'Place Profiles'!A:A,'Place Profiles'!C:C,"0")</f>
        <v>13.6103720986565</v>
      </c>
      <c r="F136" t="str">
        <v>de' Medici, Giovanni</v>
      </c>
      <c r="G136" t="str">
        <v>de' Medici, Cosimo II</v>
      </c>
      <c r="H136" cm="1">
        <f t="array" ref="H136">_xlfn.LET(
_xlpm.t,$G136,
_xlpm.cands,_xlfn._xlws.FILTER('Place Profiles'!$G$2:$G$929,'Place Profiles'!$G$2:$G$929&lt;&gt;""),
_xlpm.counts,COUNTIFS('Raw Data'!$G$2:$G$501,_xlpm.t,'Raw Data'!$F$2:$F$501,_xlpm.cands),
_xlpm.mx,MAX(_xlpm.counts),
IF(_xlpm.mx=0,0,_xlfn.TEXTJOIN(" / ",TRUE,_xlfn._xlws.FILTER(_xlpm.cands,_xlpm.counts=_xlpm.mx)))
)</f>
        <v>0</v>
      </c>
      <c r="I136" t="str">
        <f>_xlfn.XLOOKUP(H136,'Place Profiles'!A:A,'Place Profiles'!B:B,"0")</f>
        <v>0</v>
      </c>
      <c r="J136" t="str">
        <f>_xlfn.XLOOKUP(H136,'Place Profiles'!A:A,'Place Profiles'!C:C,"0")</f>
        <v>0</v>
      </c>
    </row>
    <row r="137" spans="1:10" x14ac:dyDescent="0.45">
      <c r="A137" t="str">
        <v>ID_00136</v>
      </c>
      <c r="B137" t="str">
        <v>1613/10/19</v>
      </c>
      <c r="C137" t="str">
        <v>Maccerati(?)</v>
      </c>
      <c r="D137" s="10">
        <f>_xlfn.XLOOKUP(C137,'Place Profiles'!A:A,'Place Profiles'!B:B,"0")</f>
        <v>43.299361166941502</v>
      </c>
      <c r="E137" s="10">
        <f>_xlfn.XLOOKUP(C137,'Place Profiles'!A:A,'Place Profiles'!C:C,"0")</f>
        <v>13.4480972379504</v>
      </c>
      <c r="F137" t="str">
        <v>Baroncelli, Cosimo</v>
      </c>
      <c r="G137" t="str">
        <v>de' Medici, Cosimo II</v>
      </c>
      <c r="H137" cm="1">
        <f t="array" ref="H137">_xlfn.LET(
_xlpm.t,$G137,
_xlpm.cands,_xlfn._xlws.FILTER('Place Profiles'!$G$2:$G$929,'Place Profiles'!$G$2:$G$929&lt;&gt;""),
_xlpm.counts,COUNTIFS('Raw Data'!$G$2:$G$501,_xlpm.t,'Raw Data'!$F$2:$F$501,_xlpm.cands),
_xlpm.mx,MAX(_xlpm.counts),
IF(_xlpm.mx=0,0,_xlfn.TEXTJOIN(" / ",TRUE,_xlfn._xlws.FILTER(_xlpm.cands,_xlpm.counts=_xlpm.mx)))
)</f>
        <v>0</v>
      </c>
      <c r="I137" t="str">
        <f>_xlfn.XLOOKUP(H137,'Place Profiles'!A:A,'Place Profiles'!B:B,"0")</f>
        <v>0</v>
      </c>
      <c r="J137" t="str">
        <f>_xlfn.XLOOKUP(H137,'Place Profiles'!A:A,'Place Profiles'!C:C,"0")</f>
        <v>0</v>
      </c>
    </row>
    <row r="138" spans="1:10" x14ac:dyDescent="0.45">
      <c r="A138" t="str">
        <v>ID_00137</v>
      </c>
      <c r="B138" t="str">
        <v>1613/10/19</v>
      </c>
      <c r="C138" t="str">
        <v>Santa Casa</v>
      </c>
      <c r="D138" s="10">
        <f>_xlfn.XLOOKUP(C138,'Place Profiles'!A:A,'Place Profiles'!B:B,"0")</f>
        <v>43.4411641213837</v>
      </c>
      <c r="E138" s="10">
        <f>_xlfn.XLOOKUP(C138,'Place Profiles'!A:A,'Place Profiles'!C:C,"0")</f>
        <v>13.6103720986565</v>
      </c>
      <c r="F138" t="str">
        <v>de' Medici, Giovanni</v>
      </c>
      <c r="G138" t="str">
        <v>Unknown</v>
      </c>
      <c r="H138" t="str" cm="1">
        <f t="array" ref="H138">_xlfn.LET(
_xlpm.t,$G138,
_xlpm.cands,_xlfn._xlws.FILTER('Place Profiles'!$G$2:$G$929,'Place Profiles'!$G$2:$G$929&lt;&gt;""),
_xlpm.counts,COUNTIFS('Raw Data'!$G$2:$G$501,_xlpm.t,'Raw Data'!$F$2:$F$501,_xlpm.cands),
_xlpm.mx,MAX(_xlpm.counts),
IF(_xlpm.mx=0,0,_xlfn.TEXTJOIN(" / ",TRUE,_xlfn._xlws.FILTER(_xlpm.cands,_xlpm.counts=_xlpm.mx)))
)</f>
        <v>Unknown</v>
      </c>
      <c r="I138">
        <f>_xlfn.XLOOKUP(H138,'Place Profiles'!A:A,'Place Profiles'!B:B,"0")</f>
        <v>0</v>
      </c>
      <c r="J138">
        <f>_xlfn.XLOOKUP(H138,'Place Profiles'!A:A,'Place Profiles'!C:C,"0")</f>
        <v>0</v>
      </c>
    </row>
    <row r="139" spans="1:10" x14ac:dyDescent="0.45">
      <c r="A139" t="str">
        <v>ID_00138</v>
      </c>
      <c r="B139" t="str">
        <v>1613/10/24</v>
      </c>
      <c r="C139" t="str">
        <v>Fuligno</v>
      </c>
      <c r="D139" s="10">
        <f>_xlfn.XLOOKUP(C139,'Place Profiles'!A:A,'Place Profiles'!B:B,"0")</f>
        <v>42.950970884409202</v>
      </c>
      <c r="E139" s="10">
        <f>_xlfn.XLOOKUP(C139,'Place Profiles'!A:A,'Place Profiles'!C:C,"0")</f>
        <v>12.701172673566299</v>
      </c>
      <c r="F139" t="str">
        <v>de' Medici, Giovanni</v>
      </c>
      <c r="G139" t="str">
        <v>Cioli, Andrea</v>
      </c>
      <c r="H139" cm="1">
        <f t="array" ref="H139">_xlfn.LET(
_xlpm.t,$G139,
_xlpm.cands,_xlfn._xlws.FILTER('Place Profiles'!$G$2:$G$929,'Place Profiles'!$G$2:$G$929&lt;&gt;""),
_xlpm.counts,COUNTIFS('Raw Data'!$G$2:$G$501,_xlpm.t,'Raw Data'!$F$2:$F$501,_xlpm.cands),
_xlpm.mx,MAX(_xlpm.counts),
IF(_xlpm.mx=0,0,_xlfn.TEXTJOIN(" / ",TRUE,_xlfn._xlws.FILTER(_xlpm.cands,_xlpm.counts=_xlpm.mx)))
)</f>
        <v>0</v>
      </c>
      <c r="I139" t="str">
        <f>_xlfn.XLOOKUP(H139,'Place Profiles'!A:A,'Place Profiles'!B:B,"0")</f>
        <v>0</v>
      </c>
      <c r="J139" t="str">
        <f>_xlfn.XLOOKUP(H139,'Place Profiles'!A:A,'Place Profiles'!C:C,"0")</f>
        <v>0</v>
      </c>
    </row>
    <row r="140" spans="1:10" x14ac:dyDescent="0.45">
      <c r="A140" t="str">
        <v>ID_00139</v>
      </c>
      <c r="B140" t="str">
        <v>1613/10/24</v>
      </c>
      <c r="C140" t="str">
        <v>Fuligno</v>
      </c>
      <c r="D140" s="10">
        <f>_xlfn.XLOOKUP(C140,'Place Profiles'!A:A,'Place Profiles'!B:B,"0")</f>
        <v>42.950970884409202</v>
      </c>
      <c r="E140" s="10">
        <f>_xlfn.XLOOKUP(C140,'Place Profiles'!A:A,'Place Profiles'!C:C,"0")</f>
        <v>12.701172673566299</v>
      </c>
      <c r="F140" t="str">
        <v>Picchena, Curtio</v>
      </c>
      <c r="G140" t="str">
        <v>Cioli, Andrea</v>
      </c>
      <c r="H140" cm="1">
        <f t="array" ref="H140">_xlfn.LET(
_xlpm.t,$G140,
_xlpm.cands,_xlfn._xlws.FILTER('Place Profiles'!$G$2:$G$929,'Place Profiles'!$G$2:$G$929&lt;&gt;""),
_xlpm.counts,COUNTIFS('Raw Data'!$G$2:$G$501,_xlpm.t,'Raw Data'!$F$2:$F$501,_xlpm.cands),
_xlpm.mx,MAX(_xlpm.counts),
IF(_xlpm.mx=0,0,_xlfn.TEXTJOIN(" / ",TRUE,_xlfn._xlws.FILTER(_xlpm.cands,_xlpm.counts=_xlpm.mx)))
)</f>
        <v>0</v>
      </c>
      <c r="I140" t="str">
        <f>_xlfn.XLOOKUP(H140,'Place Profiles'!A:A,'Place Profiles'!B:B,"0")</f>
        <v>0</v>
      </c>
      <c r="J140" t="str">
        <f>_xlfn.XLOOKUP(H140,'Place Profiles'!A:A,'Place Profiles'!C:C,"0")</f>
        <v>0</v>
      </c>
    </row>
    <row r="141" spans="1:10" x14ac:dyDescent="0.45">
      <c r="A141" t="str">
        <v>ID_00140</v>
      </c>
      <c r="B141" t="str">
        <v>1613/10/24</v>
      </c>
      <c r="C141" t="str">
        <v>Fuligno</v>
      </c>
      <c r="D141" s="10">
        <f>_xlfn.XLOOKUP(C141,'Place Profiles'!A:A,'Place Profiles'!B:B,"0")</f>
        <v>42.950970884409202</v>
      </c>
      <c r="E141" s="10">
        <f>_xlfn.XLOOKUP(C141,'Place Profiles'!A:A,'Place Profiles'!C:C,"0")</f>
        <v>12.701172673566299</v>
      </c>
      <c r="F141" t="str">
        <v>de' Medici, Giovanni</v>
      </c>
      <c r="G141" t="str">
        <v>de' Medici, Cosimo II</v>
      </c>
      <c r="H141" cm="1">
        <f t="array" ref="H141">_xlfn.LET(
_xlpm.t,$G141,
_xlpm.cands,_xlfn._xlws.FILTER('Place Profiles'!$G$2:$G$929,'Place Profiles'!$G$2:$G$929&lt;&gt;""),
_xlpm.counts,COUNTIFS('Raw Data'!$G$2:$G$501,_xlpm.t,'Raw Data'!$F$2:$F$501,_xlpm.cands),
_xlpm.mx,MAX(_xlpm.counts),
IF(_xlpm.mx=0,0,_xlfn.TEXTJOIN(" / ",TRUE,_xlfn._xlws.FILTER(_xlpm.cands,_xlpm.counts=_xlpm.mx)))
)</f>
        <v>0</v>
      </c>
      <c r="I141" t="str">
        <f>_xlfn.XLOOKUP(H141,'Place Profiles'!A:A,'Place Profiles'!B:B,"0")</f>
        <v>0</v>
      </c>
      <c r="J141" t="str">
        <f>_xlfn.XLOOKUP(H141,'Place Profiles'!A:A,'Place Profiles'!C:C,"0")</f>
        <v>0</v>
      </c>
    </row>
    <row r="142" spans="1:10" x14ac:dyDescent="0.45">
      <c r="A142" t="str">
        <v>ID_00141</v>
      </c>
      <c r="B142" t="str">
        <v>1613/10/24</v>
      </c>
      <c r="C142" t="str">
        <v>Fuligno</v>
      </c>
      <c r="D142" s="10">
        <f>_xlfn.XLOOKUP(C142,'Place Profiles'!A:A,'Place Profiles'!B:B,"0")</f>
        <v>42.950970884409202</v>
      </c>
      <c r="E142" s="10">
        <f>_xlfn.XLOOKUP(C142,'Place Profiles'!A:A,'Place Profiles'!C:C,"0")</f>
        <v>12.701172673566299</v>
      </c>
      <c r="F142" t="str">
        <v>von Habsburg, Maria Magdalena</v>
      </c>
      <c r="G142" t="str">
        <v>de' Medici, Cosimo II</v>
      </c>
      <c r="H142" cm="1">
        <f t="array" ref="H142">_xlfn.LET(
_xlpm.t,$G142,
_xlpm.cands,_xlfn._xlws.FILTER('Place Profiles'!$G$2:$G$929,'Place Profiles'!$G$2:$G$929&lt;&gt;""),
_xlpm.counts,COUNTIFS('Raw Data'!$G$2:$G$501,_xlpm.t,'Raw Data'!$F$2:$F$501,_xlpm.cands),
_xlpm.mx,MAX(_xlpm.counts),
IF(_xlpm.mx=0,0,_xlfn.TEXTJOIN(" / ",TRUE,_xlfn._xlws.FILTER(_xlpm.cands,_xlpm.counts=_xlpm.mx)))
)</f>
        <v>0</v>
      </c>
      <c r="I142" t="str">
        <f>_xlfn.XLOOKUP(H142,'Place Profiles'!A:A,'Place Profiles'!B:B,"0")</f>
        <v>0</v>
      </c>
      <c r="J142" t="str">
        <f>_xlfn.XLOOKUP(H142,'Place Profiles'!A:A,'Place Profiles'!C:C,"0")</f>
        <v>0</v>
      </c>
    </row>
    <row r="143" spans="1:10" x14ac:dyDescent="0.45">
      <c r="A143" t="str">
        <v>ID_00142</v>
      </c>
      <c r="B143" t="str">
        <v>1613/10/00</v>
      </c>
      <c r="C143" t="str">
        <v>Cortona</v>
      </c>
      <c r="D143" s="10">
        <f>_xlfn.XLOOKUP(C143,'Place Profiles'!A:A,'Place Profiles'!B:B,"0")</f>
        <v>43.274837025321901</v>
      </c>
      <c r="E143" s="10">
        <f>_xlfn.XLOOKUP(C143,'Place Profiles'!A:A,'Place Profiles'!C:C,"0")</f>
        <v>11.985709335848499</v>
      </c>
      <c r="F143" t="str">
        <v>de' Medici, Giovanni</v>
      </c>
      <c r="G143" t="str">
        <v>de' Medici, Cosimo II</v>
      </c>
      <c r="H143" cm="1">
        <f t="array" ref="H143">_xlfn.LET(
_xlpm.t,$G143,
_xlpm.cands,_xlfn._xlws.FILTER('Place Profiles'!$G$2:$G$929,'Place Profiles'!$G$2:$G$929&lt;&gt;""),
_xlpm.counts,COUNTIFS('Raw Data'!$G$2:$G$501,_xlpm.t,'Raw Data'!$F$2:$F$501,_xlpm.cands),
_xlpm.mx,MAX(_xlpm.counts),
IF(_xlpm.mx=0,0,_xlfn.TEXTJOIN(" / ",TRUE,_xlfn._xlws.FILTER(_xlpm.cands,_xlpm.counts=_xlpm.mx)))
)</f>
        <v>0</v>
      </c>
      <c r="I143" t="str">
        <f>_xlfn.XLOOKUP(H143,'Place Profiles'!A:A,'Place Profiles'!B:B,"0")</f>
        <v>0</v>
      </c>
      <c r="J143" t="str">
        <f>_xlfn.XLOOKUP(H143,'Place Profiles'!A:A,'Place Profiles'!C:C,"0")</f>
        <v>0</v>
      </c>
    </row>
    <row r="144" spans="1:10" x14ac:dyDescent="0.45">
      <c r="A144" t="str">
        <v>ID_00143</v>
      </c>
      <c r="B144" t="str">
        <v>1613/10/00</v>
      </c>
      <c r="C144" t="str">
        <v>Roma</v>
      </c>
      <c r="D144" s="10">
        <f>_xlfn.XLOOKUP(C144,'Place Profiles'!A:A,'Place Profiles'!B:B,"0")</f>
        <v>41.899629583830801</v>
      </c>
      <c r="E144" s="10">
        <f>_xlfn.XLOOKUP(C144,'Place Profiles'!A:A,'Place Profiles'!C:C,"0")</f>
        <v>12.5678772754165</v>
      </c>
      <c r="F144" t="str">
        <v>Paul V</v>
      </c>
      <c r="G144" t="str">
        <v>Unknown</v>
      </c>
      <c r="H144" t="str" cm="1">
        <f t="array" ref="H144">_xlfn.LET(
_xlpm.t,$G144,
_xlpm.cands,_xlfn._xlws.FILTER('Place Profiles'!$G$2:$G$929,'Place Profiles'!$G$2:$G$929&lt;&gt;""),
_xlpm.counts,COUNTIFS('Raw Data'!$G$2:$G$501,_xlpm.t,'Raw Data'!$F$2:$F$501,_xlpm.cands),
_xlpm.mx,MAX(_xlpm.counts),
IF(_xlpm.mx=0,0,_xlfn.TEXTJOIN(" / ",TRUE,_xlfn._xlws.FILTER(_xlpm.cands,_xlpm.counts=_xlpm.mx)))
)</f>
        <v>Unknown</v>
      </c>
      <c r="I144">
        <f>_xlfn.XLOOKUP(H144,'Place Profiles'!A:A,'Place Profiles'!B:B,"0")</f>
        <v>0</v>
      </c>
      <c r="J144">
        <f>_xlfn.XLOOKUP(H144,'Place Profiles'!A:A,'Place Profiles'!C:C,"0")</f>
        <v>0</v>
      </c>
    </row>
    <row r="145" spans="1:10" x14ac:dyDescent="0.45">
      <c r="A145" t="str">
        <v>ID_00144</v>
      </c>
      <c r="B145" t="str">
        <v>1613/10/00</v>
      </c>
      <c r="C145" t="str">
        <v>Unknown</v>
      </c>
      <c r="D145" s="10">
        <f>_xlfn.XLOOKUP(C145,'Place Profiles'!A:A,'Place Profiles'!B:B,"0")</f>
        <v>0</v>
      </c>
      <c r="E145" s="10">
        <f>_xlfn.XLOOKUP(C145,'Place Profiles'!A:A,'Place Profiles'!C:C,"0")</f>
        <v>0</v>
      </c>
      <c r="F145" t="str">
        <v>Unknown</v>
      </c>
      <c r="G145" t="str">
        <v>Unknown</v>
      </c>
      <c r="H145" t="str" cm="1">
        <f t="array" ref="H145">_xlfn.LET(
_xlpm.t,$G145,
_xlpm.cands,_xlfn._xlws.FILTER('Place Profiles'!$G$2:$G$929,'Place Profiles'!$G$2:$G$929&lt;&gt;""),
_xlpm.counts,COUNTIFS('Raw Data'!$G$2:$G$501,_xlpm.t,'Raw Data'!$F$2:$F$501,_xlpm.cands),
_xlpm.mx,MAX(_xlpm.counts),
IF(_xlpm.mx=0,0,_xlfn.TEXTJOIN(" / ",TRUE,_xlfn._xlws.FILTER(_xlpm.cands,_xlpm.counts=_xlpm.mx)))
)</f>
        <v>Unknown</v>
      </c>
      <c r="I145">
        <f>_xlfn.XLOOKUP(H145,'Place Profiles'!A:A,'Place Profiles'!B:B,"0")</f>
        <v>0</v>
      </c>
      <c r="J145">
        <f>_xlfn.XLOOKUP(H145,'Place Profiles'!A:A,'Place Profiles'!C:C,"0")</f>
        <v>0</v>
      </c>
    </row>
    <row r="146" spans="1:10" x14ac:dyDescent="0.45">
      <c r="A146" t="str">
        <v>ID_00145</v>
      </c>
      <c r="B146" t="str">
        <v>1613/10/02</v>
      </c>
      <c r="C146" t="str">
        <v>Unknown</v>
      </c>
      <c r="D146" s="10">
        <f>_xlfn.XLOOKUP(C146,'Place Profiles'!A:A,'Place Profiles'!B:B,"0")</f>
        <v>0</v>
      </c>
      <c r="E146" s="10">
        <f>_xlfn.XLOOKUP(C146,'Place Profiles'!A:A,'Place Profiles'!C:C,"0")</f>
        <v>0</v>
      </c>
      <c r="F146" t="str">
        <v>Borghese, ?</v>
      </c>
      <c r="G146" t="str">
        <v>von Habsburg, Maria Magdalena</v>
      </c>
      <c r="H146" t="str" cm="1">
        <f t="array" ref="H146">_xlfn.LET(
_xlpm.t,$G146,
_xlpm.cands,_xlfn._xlws.FILTER('Place Profiles'!$G$2:$G$929,'Place Profiles'!$G$2:$G$929&lt;&gt;""),
_xlpm.counts,COUNTIFS('Raw Data'!$G$2:$G$501,_xlpm.t,'Raw Data'!$F$2:$F$501,_xlpm.cands),
_xlpm.mx,MAX(_xlpm.counts),
IF(_xlpm.mx=0,0,_xlfn.TEXTJOIN(" / ",TRUE,_xlfn._xlws.FILTER(_xlpm.cands,_xlpm.counts=_xlpm.mx)))
)</f>
        <v>Firenze/Fiorenza</v>
      </c>
      <c r="I146">
        <f>_xlfn.XLOOKUP(H146,'Place Profiles'!A:A,'Place Profiles'!B:B,"0")</f>
        <v>43.773821664204803</v>
      </c>
      <c r="J146">
        <f>_xlfn.XLOOKUP(H146,'Place Profiles'!A:A,'Place Profiles'!C:C,"0")</f>
        <v>11.2555362617661</v>
      </c>
    </row>
    <row r="147" spans="1:10" x14ac:dyDescent="0.45">
      <c r="A147" t="str">
        <v>ID_00146</v>
      </c>
      <c r="B147" t="str">
        <v>1616/11/01</v>
      </c>
      <c r="C147" t="str">
        <v>Roma</v>
      </c>
      <c r="D147" s="10">
        <f>_xlfn.XLOOKUP(C147,'Place Profiles'!A:A,'Place Profiles'!B:B,"0")</f>
        <v>41.899629583830801</v>
      </c>
      <c r="E147" s="10">
        <f>_xlfn.XLOOKUP(C147,'Place Profiles'!A:A,'Place Profiles'!C:C,"0")</f>
        <v>12.5678772754165</v>
      </c>
      <c r="F147" t="str">
        <v>Multiple</v>
      </c>
      <c r="G147" t="str">
        <v>Unknown</v>
      </c>
      <c r="H147" t="str" cm="1">
        <f t="array" ref="H147">_xlfn.LET(
_xlpm.t,$G147,
_xlpm.cands,_xlfn._xlws.FILTER('Place Profiles'!$G$2:$G$929,'Place Profiles'!$G$2:$G$929&lt;&gt;""),
_xlpm.counts,COUNTIFS('Raw Data'!$G$2:$G$501,_xlpm.t,'Raw Data'!$F$2:$F$501,_xlpm.cands),
_xlpm.mx,MAX(_xlpm.counts),
IF(_xlpm.mx=0,0,_xlfn.TEXTJOIN(" / ",TRUE,_xlfn._xlws.FILTER(_xlpm.cands,_xlpm.counts=_xlpm.mx)))
)</f>
        <v>Unknown</v>
      </c>
      <c r="I147">
        <f>_xlfn.XLOOKUP(H147,'Place Profiles'!A:A,'Place Profiles'!B:B,"0")</f>
        <v>0</v>
      </c>
      <c r="J147">
        <f>_xlfn.XLOOKUP(H147,'Place Profiles'!A:A,'Place Profiles'!C:C,"0")</f>
        <v>0</v>
      </c>
    </row>
    <row r="148" spans="1:10" x14ac:dyDescent="0.45">
      <c r="A148" t="str">
        <v>ID_00147</v>
      </c>
      <c r="B148" t="str">
        <v>0000/00/00</v>
      </c>
      <c r="C148" t="str">
        <v>Unknown</v>
      </c>
      <c r="D148" s="10">
        <f>_xlfn.XLOOKUP(C148,'Place Profiles'!A:A,'Place Profiles'!B:B,"0")</f>
        <v>0</v>
      </c>
      <c r="E148" s="10">
        <f>_xlfn.XLOOKUP(C148,'Place Profiles'!A:A,'Place Profiles'!C:C,"0")</f>
        <v>0</v>
      </c>
      <c r="F148" t="str">
        <v>de' Medici, Raffe(aelo)</v>
      </c>
      <c r="G148" t="str">
        <v>Unknown</v>
      </c>
      <c r="H148" t="str" cm="1">
        <f t="array" ref="H148">_xlfn.LET(
_xlpm.t,$G148,
_xlpm.cands,_xlfn._xlws.FILTER('Place Profiles'!$G$2:$G$929,'Place Profiles'!$G$2:$G$929&lt;&gt;""),
_xlpm.counts,COUNTIFS('Raw Data'!$G$2:$G$501,_xlpm.t,'Raw Data'!$F$2:$F$501,_xlpm.cands),
_xlpm.mx,MAX(_xlpm.counts),
IF(_xlpm.mx=0,0,_xlfn.TEXTJOIN(" / ",TRUE,_xlfn._xlws.FILTER(_xlpm.cands,_xlpm.counts=_xlpm.mx)))
)</f>
        <v>Unknown</v>
      </c>
      <c r="I148">
        <f>_xlfn.XLOOKUP(H148,'Place Profiles'!A:A,'Place Profiles'!B:B,"0")</f>
        <v>0</v>
      </c>
      <c r="J148">
        <f>_xlfn.XLOOKUP(H148,'Place Profiles'!A:A,'Place Profiles'!C:C,"0")</f>
        <v>0</v>
      </c>
    </row>
    <row r="149" spans="1:10" x14ac:dyDescent="0.45">
      <c r="A149" t="str">
        <v>ID_00148</v>
      </c>
      <c r="B149" t="str">
        <v>1613/10/11</v>
      </c>
      <c r="C149" t="str">
        <v>Perugia</v>
      </c>
      <c r="D149" s="10">
        <f>_xlfn.XLOOKUP(C149,'Place Profiles'!A:A,'Place Profiles'!B:B,"0")</f>
        <v>43.104930797885402</v>
      </c>
      <c r="E149" s="10">
        <f>_xlfn.XLOOKUP(C149,'Place Profiles'!A:A,'Place Profiles'!C:C,"0")</f>
        <v>12.387000247888899</v>
      </c>
      <c r="F149" t="str">
        <v>Multiple</v>
      </c>
      <c r="G149" t="str">
        <v>von Habsburg, Maria Magdalena</v>
      </c>
      <c r="H149" t="str" cm="1">
        <f t="array" ref="H149">_xlfn.LET(
_xlpm.t,$G149,
_xlpm.cands,_xlfn._xlws.FILTER('Place Profiles'!$G$2:$G$929,'Place Profiles'!$G$2:$G$929&lt;&gt;""),
_xlpm.counts,COUNTIFS('Raw Data'!$G$2:$G$501,_xlpm.t,'Raw Data'!$F$2:$F$501,_xlpm.cands),
_xlpm.mx,MAX(_xlpm.counts),
IF(_xlpm.mx=0,0,_xlfn.TEXTJOIN(" / ",TRUE,_xlfn._xlws.FILTER(_xlpm.cands,_xlpm.counts=_xlpm.mx)))
)</f>
        <v>Firenze/Fiorenza</v>
      </c>
      <c r="I149">
        <f>_xlfn.XLOOKUP(H149,'Place Profiles'!A:A,'Place Profiles'!B:B,"0")</f>
        <v>43.773821664204803</v>
      </c>
      <c r="J149">
        <f>_xlfn.XLOOKUP(H149,'Place Profiles'!A:A,'Place Profiles'!C:C,"0")</f>
        <v>11.2555362617661</v>
      </c>
    </row>
    <row r="150" spans="1:10" x14ac:dyDescent="0.45">
      <c r="A150" t="str">
        <v>ID_00149</v>
      </c>
      <c r="B150" t="str">
        <v>1628/03/30</v>
      </c>
      <c r="C150" t="str">
        <v>Mantova</v>
      </c>
      <c r="D150" s="10">
        <f>_xlfn.XLOOKUP(C150,'Place Profiles'!A:A,'Place Profiles'!B:B,"0")</f>
        <v>45.156437254514501</v>
      </c>
      <c r="E150" s="10">
        <f>_xlfn.XLOOKUP(C150,'Place Profiles'!A:A,'Place Profiles'!C:C,"0")</f>
        <v>10.7914436839782</v>
      </c>
      <c r="F150" t="str">
        <v>Gonzaga, Carlo (Charles II)</v>
      </c>
      <c r="G150" t="str">
        <v>de' Medici, Ferdinando II</v>
      </c>
      <c r="H150" cm="1">
        <f t="array" ref="H150">_xlfn.LET(
_xlpm.t,$G150,
_xlpm.cands,_xlfn._xlws.FILTER('Place Profiles'!$G$2:$G$929,'Place Profiles'!$G$2:$G$929&lt;&gt;""),
_xlpm.counts,COUNTIFS('Raw Data'!$G$2:$G$501,_xlpm.t,'Raw Data'!$F$2:$F$501,_xlpm.cands),
_xlpm.mx,MAX(_xlpm.counts),
IF(_xlpm.mx=0,0,_xlfn.TEXTJOIN(" / ",TRUE,_xlfn._xlws.FILTER(_xlpm.cands,_xlpm.counts=_xlpm.mx)))
)</f>
        <v>0</v>
      </c>
      <c r="I150" t="str">
        <f>_xlfn.XLOOKUP(H150,'Place Profiles'!A:A,'Place Profiles'!B:B,"0")</f>
        <v>0</v>
      </c>
      <c r="J150" t="str">
        <f>_xlfn.XLOOKUP(H150,'Place Profiles'!A:A,'Place Profiles'!C:C,"0")</f>
        <v>0</v>
      </c>
    </row>
    <row r="151" spans="1:10" x14ac:dyDescent="0.45">
      <c r="A151" t="str">
        <v>ID_00150</v>
      </c>
      <c r="B151" t="str">
        <v>1628/04/07</v>
      </c>
      <c r="C151" t="str">
        <v>Mantova</v>
      </c>
      <c r="D151" s="10">
        <f>_xlfn.XLOOKUP(C151,'Place Profiles'!A:A,'Place Profiles'!B:B,"0")</f>
        <v>45.156437254514501</v>
      </c>
      <c r="E151" s="10">
        <f>_xlfn.XLOOKUP(C151,'Place Profiles'!A:A,'Place Profiles'!C:C,"0")</f>
        <v>10.7914436839782</v>
      </c>
      <c r="F151" t="str">
        <v>Gonzaga, Carlo (Charles I)</v>
      </c>
      <c r="G151" t="str">
        <v>von Habsburg, Maria Magdalena</v>
      </c>
      <c r="H151" t="str" cm="1">
        <f t="array" ref="H151">_xlfn.LET(
_xlpm.t,$G151,
_xlpm.cands,_xlfn._xlws.FILTER('Place Profiles'!$G$2:$G$929,'Place Profiles'!$G$2:$G$929&lt;&gt;""),
_xlpm.counts,COUNTIFS('Raw Data'!$G$2:$G$501,_xlpm.t,'Raw Data'!$F$2:$F$501,_xlpm.cands),
_xlpm.mx,MAX(_xlpm.counts),
IF(_xlpm.mx=0,0,_xlfn.TEXTJOIN(" / ",TRUE,_xlfn._xlws.FILTER(_xlpm.cands,_xlpm.counts=_xlpm.mx)))
)</f>
        <v>Firenze/Fiorenza</v>
      </c>
      <c r="I151">
        <f>_xlfn.XLOOKUP(H151,'Place Profiles'!A:A,'Place Profiles'!B:B,"0")</f>
        <v>43.773821664204803</v>
      </c>
      <c r="J151">
        <f>_xlfn.XLOOKUP(H151,'Place Profiles'!A:A,'Place Profiles'!C:C,"0")</f>
        <v>11.2555362617661</v>
      </c>
    </row>
    <row r="152" spans="1:10" x14ac:dyDescent="0.45">
      <c r="A152" t="str">
        <v>ID_00151</v>
      </c>
      <c r="B152" t="str">
        <v>1628/04/07</v>
      </c>
      <c r="C152" t="str">
        <v>Mantova</v>
      </c>
      <c r="D152" s="10">
        <f>_xlfn.XLOOKUP(C152,'Place Profiles'!A:A,'Place Profiles'!B:B,"0")</f>
        <v>45.156437254514501</v>
      </c>
      <c r="E152" s="10">
        <f>_xlfn.XLOOKUP(C152,'Place Profiles'!A:A,'Place Profiles'!C:C,"0")</f>
        <v>10.7914436839782</v>
      </c>
      <c r="F152" t="str">
        <v>Gonzaga, Carlo (Charles I)</v>
      </c>
      <c r="G152" t="str">
        <v>di Lorena, Cristina</v>
      </c>
      <c r="H152" t="str" cm="1">
        <f t="array" ref="H152">_xlfn.LET(
_xlpm.t,$G152,
_xlpm.cands,_xlfn._xlws.FILTER('Place Profiles'!$G$2:$G$929,'Place Profiles'!$G$2:$G$929&lt;&gt;""),
_xlpm.counts,COUNTIFS('Raw Data'!$G$2:$G$501,_xlpm.t,'Raw Data'!$F$2:$F$501,_xlpm.cands),
_xlpm.mx,MAX(_xlpm.counts),
IF(_xlpm.mx=0,0,_xlfn.TEXTJOIN(" / ",TRUE,_xlfn._xlws.FILTER(_xlpm.cands,_xlpm.counts=_xlpm.mx)))
)</f>
        <v>Firenze/Fiorenza</v>
      </c>
      <c r="I152">
        <f>_xlfn.XLOOKUP(H152,'Place Profiles'!A:A,'Place Profiles'!B:B,"0")</f>
        <v>43.773821664204803</v>
      </c>
      <c r="J152">
        <f>_xlfn.XLOOKUP(H152,'Place Profiles'!A:A,'Place Profiles'!C:C,"0")</f>
        <v>11.2555362617661</v>
      </c>
    </row>
    <row r="153" spans="1:10" x14ac:dyDescent="0.45">
      <c r="A153" t="str">
        <v>ID_00152</v>
      </c>
      <c r="B153" t="str">
        <v>1628/04/07</v>
      </c>
      <c r="C153" t="str">
        <v>Mantova</v>
      </c>
      <c r="D153" s="10">
        <f>_xlfn.XLOOKUP(C153,'Place Profiles'!A:A,'Place Profiles'!B:B,"0")</f>
        <v>45.156437254514501</v>
      </c>
      <c r="E153" s="10">
        <f>_xlfn.XLOOKUP(C153,'Place Profiles'!A:A,'Place Profiles'!C:C,"0")</f>
        <v>10.7914436839782</v>
      </c>
      <c r="F153" t="str">
        <v>Gonzaga, Carlo (Charles II)</v>
      </c>
      <c r="G153" t="str">
        <v>von Habsburg, Maria Magdalena</v>
      </c>
      <c r="H153" t="str" cm="1">
        <f t="array" ref="H153">_xlfn.LET(
_xlpm.t,$G153,
_xlpm.cands,_xlfn._xlws.FILTER('Place Profiles'!$G$2:$G$929,'Place Profiles'!$G$2:$G$929&lt;&gt;""),
_xlpm.counts,COUNTIFS('Raw Data'!$G$2:$G$501,_xlpm.t,'Raw Data'!$F$2:$F$501,_xlpm.cands),
_xlpm.mx,MAX(_xlpm.counts),
IF(_xlpm.mx=0,0,_xlfn.TEXTJOIN(" / ",TRUE,_xlfn._xlws.FILTER(_xlpm.cands,_xlpm.counts=_xlpm.mx)))
)</f>
        <v>Firenze/Fiorenza</v>
      </c>
      <c r="I153">
        <f>_xlfn.XLOOKUP(H153,'Place Profiles'!A:A,'Place Profiles'!B:B,"0")</f>
        <v>43.773821664204803</v>
      </c>
      <c r="J153">
        <f>_xlfn.XLOOKUP(H153,'Place Profiles'!A:A,'Place Profiles'!C:C,"0")</f>
        <v>11.2555362617661</v>
      </c>
    </row>
    <row r="154" spans="1:10" x14ac:dyDescent="0.45">
      <c r="A154" t="str">
        <v>ID_00153</v>
      </c>
      <c r="B154" t="str">
        <v>1628/04/07</v>
      </c>
      <c r="C154" t="str">
        <v>Mantova</v>
      </c>
      <c r="D154" s="10">
        <f>_xlfn.XLOOKUP(C154,'Place Profiles'!A:A,'Place Profiles'!B:B,"0")</f>
        <v>45.156437254514501</v>
      </c>
      <c r="E154" s="10">
        <f>_xlfn.XLOOKUP(C154,'Place Profiles'!A:A,'Place Profiles'!C:C,"0")</f>
        <v>10.7914436839782</v>
      </c>
      <c r="F154" t="str">
        <v>da Verrazzano, Baccio</v>
      </c>
      <c r="G154" t="str">
        <v>di Lorena, Cristina</v>
      </c>
      <c r="H154" t="str" cm="1">
        <f t="array" ref="H154">_xlfn.LET(
_xlpm.t,$G154,
_xlpm.cands,_xlfn._xlws.FILTER('Place Profiles'!$G$2:$G$929,'Place Profiles'!$G$2:$G$929&lt;&gt;""),
_xlpm.counts,COUNTIFS('Raw Data'!$G$2:$G$501,_xlpm.t,'Raw Data'!$F$2:$F$501,_xlpm.cands),
_xlpm.mx,MAX(_xlpm.counts),
IF(_xlpm.mx=0,0,_xlfn.TEXTJOIN(" / ",TRUE,_xlfn._xlws.FILTER(_xlpm.cands,_xlpm.counts=_xlpm.mx)))
)</f>
        <v>Firenze/Fiorenza</v>
      </c>
      <c r="I154">
        <f>_xlfn.XLOOKUP(H154,'Place Profiles'!A:A,'Place Profiles'!B:B,"0")</f>
        <v>43.773821664204803</v>
      </c>
      <c r="J154">
        <f>_xlfn.XLOOKUP(H154,'Place Profiles'!A:A,'Place Profiles'!C:C,"0")</f>
        <v>11.2555362617661</v>
      </c>
    </row>
    <row r="155" spans="1:10" x14ac:dyDescent="0.45">
      <c r="A155" t="str">
        <v>ID_00154</v>
      </c>
      <c r="B155" t="str">
        <v>1628/04/10</v>
      </c>
      <c r="C155" t="str">
        <v>Mantova</v>
      </c>
      <c r="D155" s="10">
        <f>_xlfn.XLOOKUP(C155,'Place Profiles'!A:A,'Place Profiles'!B:B,"0")</f>
        <v>45.156437254514501</v>
      </c>
      <c r="E155" s="10">
        <f>_xlfn.XLOOKUP(C155,'Place Profiles'!A:A,'Place Profiles'!C:C,"0")</f>
        <v>10.7914436839782</v>
      </c>
      <c r="F155" t="str">
        <v>Gonzaga, Maria</v>
      </c>
      <c r="G155" t="str">
        <v>di Lorena, Cristina</v>
      </c>
      <c r="H155" t="str" cm="1">
        <f t="array" ref="H155">_xlfn.LET(
_xlpm.t,$G155,
_xlpm.cands,_xlfn._xlws.FILTER('Place Profiles'!$G$2:$G$929,'Place Profiles'!$G$2:$G$929&lt;&gt;""),
_xlpm.counts,COUNTIFS('Raw Data'!$G$2:$G$501,_xlpm.t,'Raw Data'!$F$2:$F$501,_xlpm.cands),
_xlpm.mx,MAX(_xlpm.counts),
IF(_xlpm.mx=0,0,_xlfn.TEXTJOIN(" / ",TRUE,_xlfn._xlws.FILTER(_xlpm.cands,_xlpm.counts=_xlpm.mx)))
)</f>
        <v>Firenze/Fiorenza</v>
      </c>
      <c r="I155">
        <f>_xlfn.XLOOKUP(H155,'Place Profiles'!A:A,'Place Profiles'!B:B,"0")</f>
        <v>43.773821664204803</v>
      </c>
      <c r="J155">
        <f>_xlfn.XLOOKUP(H155,'Place Profiles'!A:A,'Place Profiles'!C:C,"0")</f>
        <v>11.2555362617661</v>
      </c>
    </row>
    <row r="156" spans="1:10" x14ac:dyDescent="0.45">
      <c r="A156" t="str">
        <v>ID_00155</v>
      </c>
      <c r="B156" t="str">
        <v>1628/04/07</v>
      </c>
      <c r="C156" t="str">
        <v>Mantova</v>
      </c>
      <c r="D156" s="10">
        <f>_xlfn.XLOOKUP(C156,'Place Profiles'!A:A,'Place Profiles'!B:B,"0")</f>
        <v>45.156437254514501</v>
      </c>
      <c r="E156" s="10">
        <f>_xlfn.XLOOKUP(C156,'Place Profiles'!A:A,'Place Profiles'!C:C,"0")</f>
        <v>10.7914436839782</v>
      </c>
      <c r="F156" t="str">
        <v>Gonzaga, Carlo (Charles II)</v>
      </c>
      <c r="G156" t="str">
        <v>di Lorena, Cristina</v>
      </c>
      <c r="H156" t="str" cm="1">
        <f t="array" ref="H156">_xlfn.LET(
_xlpm.t,$G156,
_xlpm.cands,_xlfn._xlws.FILTER('Place Profiles'!$G$2:$G$929,'Place Profiles'!$G$2:$G$929&lt;&gt;""),
_xlpm.counts,COUNTIFS('Raw Data'!$G$2:$G$501,_xlpm.t,'Raw Data'!$F$2:$F$501,_xlpm.cands),
_xlpm.mx,MAX(_xlpm.counts),
IF(_xlpm.mx=0,0,_xlfn.TEXTJOIN(" / ",TRUE,_xlfn._xlws.FILTER(_xlpm.cands,_xlpm.counts=_xlpm.mx)))
)</f>
        <v>Firenze/Fiorenza</v>
      </c>
      <c r="I156">
        <f>_xlfn.XLOOKUP(H156,'Place Profiles'!A:A,'Place Profiles'!B:B,"0")</f>
        <v>43.773821664204803</v>
      </c>
      <c r="J156">
        <f>_xlfn.XLOOKUP(H156,'Place Profiles'!A:A,'Place Profiles'!C:C,"0")</f>
        <v>11.2555362617661</v>
      </c>
    </row>
    <row r="157" spans="1:10" x14ac:dyDescent="0.45">
      <c r="A157" t="str">
        <v>ID_00156</v>
      </c>
      <c r="B157" t="str">
        <v>1628/04/06</v>
      </c>
      <c r="C157" t="str">
        <v>Mantova</v>
      </c>
      <c r="D157" s="10">
        <f>_xlfn.XLOOKUP(C157,'Place Profiles'!A:A,'Place Profiles'!B:B,"0")</f>
        <v>45.156437254514501</v>
      </c>
      <c r="E157" s="10">
        <f>_xlfn.XLOOKUP(C157,'Place Profiles'!A:A,'Place Profiles'!C:C,"0")</f>
        <v>10.7914436839782</v>
      </c>
      <c r="F157" t="str">
        <v>Gonzaga, Maria</v>
      </c>
      <c r="G157" t="str">
        <v>von Habsburg, Maria Magdalena</v>
      </c>
      <c r="H157" t="str" cm="1">
        <f t="array" ref="H157">_xlfn.LET(
_xlpm.t,$G157,
_xlpm.cands,_xlfn._xlws.FILTER('Place Profiles'!$G$2:$G$929,'Place Profiles'!$G$2:$G$929&lt;&gt;""),
_xlpm.counts,COUNTIFS('Raw Data'!$G$2:$G$501,_xlpm.t,'Raw Data'!$F$2:$F$501,_xlpm.cands),
_xlpm.mx,MAX(_xlpm.counts),
IF(_xlpm.mx=0,0,_xlfn.TEXTJOIN(" / ",TRUE,_xlfn._xlws.FILTER(_xlpm.cands,_xlpm.counts=_xlpm.mx)))
)</f>
        <v>Firenze/Fiorenza</v>
      </c>
      <c r="I157">
        <f>_xlfn.XLOOKUP(H157,'Place Profiles'!A:A,'Place Profiles'!B:B,"0")</f>
        <v>43.773821664204803</v>
      </c>
      <c r="J157">
        <f>_xlfn.XLOOKUP(H157,'Place Profiles'!A:A,'Place Profiles'!C:C,"0")</f>
        <v>11.2555362617661</v>
      </c>
    </row>
    <row r="158" spans="1:10" x14ac:dyDescent="0.45">
      <c r="A158" t="str">
        <v>ID_00157</v>
      </c>
      <c r="B158" t="str">
        <v>1628/04/08</v>
      </c>
      <c r="C158" t="str">
        <v>Mantova</v>
      </c>
      <c r="D158" s="10">
        <f>_xlfn.XLOOKUP(C158,'Place Profiles'!A:A,'Place Profiles'!B:B,"0")</f>
        <v>45.156437254514501</v>
      </c>
      <c r="E158" s="10">
        <f>_xlfn.XLOOKUP(C158,'Place Profiles'!A:A,'Place Profiles'!C:C,"0")</f>
        <v>10.7914436839782</v>
      </c>
      <c r="F158" t="str">
        <v>Gonzaga, Maria</v>
      </c>
      <c r="G158" t="str">
        <v>di Lorena, Cristina</v>
      </c>
      <c r="H158" t="str" cm="1">
        <f t="array" ref="H158">_xlfn.LET(
_xlpm.t,$G158,
_xlpm.cands,_xlfn._xlws.FILTER('Place Profiles'!$G$2:$G$929,'Place Profiles'!$G$2:$G$929&lt;&gt;""),
_xlpm.counts,COUNTIFS('Raw Data'!$G$2:$G$501,_xlpm.t,'Raw Data'!$F$2:$F$501,_xlpm.cands),
_xlpm.mx,MAX(_xlpm.counts),
IF(_xlpm.mx=0,0,_xlfn.TEXTJOIN(" / ",TRUE,_xlfn._xlws.FILTER(_xlpm.cands,_xlpm.counts=_xlpm.mx)))
)</f>
        <v>Firenze/Fiorenza</v>
      </c>
      <c r="I158">
        <f>_xlfn.XLOOKUP(H158,'Place Profiles'!A:A,'Place Profiles'!B:B,"0")</f>
        <v>43.773821664204803</v>
      </c>
      <c r="J158">
        <f>_xlfn.XLOOKUP(H158,'Place Profiles'!A:A,'Place Profiles'!C:C,"0")</f>
        <v>11.2555362617661</v>
      </c>
    </row>
    <row r="159" spans="1:10" x14ac:dyDescent="0.45">
      <c r="A159" t="str">
        <v>ID_00158</v>
      </c>
      <c r="B159" t="str">
        <v>1628/04/10</v>
      </c>
      <c r="C159" t="str">
        <v>Mantova</v>
      </c>
      <c r="D159" s="10">
        <f>_xlfn.XLOOKUP(C159,'Place Profiles'!A:A,'Place Profiles'!B:B,"0")</f>
        <v>45.156437254514501</v>
      </c>
      <c r="E159" s="10">
        <f>_xlfn.XLOOKUP(C159,'Place Profiles'!A:A,'Place Profiles'!C:C,"0")</f>
        <v>10.7914436839782</v>
      </c>
      <c r="F159" t="str">
        <v>Gonzaga, Maria</v>
      </c>
      <c r="G159" t="str">
        <v>von Habsburg, Maria Magdalena</v>
      </c>
      <c r="H159" t="str" cm="1">
        <f t="array" ref="H159">_xlfn.LET(
_xlpm.t,$G159,
_xlpm.cands,_xlfn._xlws.FILTER('Place Profiles'!$G$2:$G$929,'Place Profiles'!$G$2:$G$929&lt;&gt;""),
_xlpm.counts,COUNTIFS('Raw Data'!$G$2:$G$501,_xlpm.t,'Raw Data'!$F$2:$F$501,_xlpm.cands),
_xlpm.mx,MAX(_xlpm.counts),
IF(_xlpm.mx=0,0,_xlfn.TEXTJOIN(" / ",TRUE,_xlfn._xlws.FILTER(_xlpm.cands,_xlpm.counts=_xlpm.mx)))
)</f>
        <v>Firenze/Fiorenza</v>
      </c>
      <c r="I159">
        <f>_xlfn.XLOOKUP(H159,'Place Profiles'!A:A,'Place Profiles'!B:B,"0")</f>
        <v>43.773821664204803</v>
      </c>
      <c r="J159">
        <f>_xlfn.XLOOKUP(H159,'Place Profiles'!A:A,'Place Profiles'!C:C,"0")</f>
        <v>11.2555362617661</v>
      </c>
    </row>
    <row r="160" spans="1:10" x14ac:dyDescent="0.45">
      <c r="A160" t="str">
        <v>ID_00159</v>
      </c>
      <c r="B160" t="str">
        <v>1628/04/10</v>
      </c>
      <c r="C160" t="str">
        <v>Mantova</v>
      </c>
      <c r="D160" s="10">
        <f>_xlfn.XLOOKUP(C160,'Place Profiles'!A:A,'Place Profiles'!B:B,"0")</f>
        <v>45.156437254514501</v>
      </c>
      <c r="E160" s="10">
        <f>_xlfn.XLOOKUP(C160,'Place Profiles'!A:A,'Place Profiles'!C:C,"0")</f>
        <v>10.7914436839782</v>
      </c>
      <c r="F160" t="str">
        <v>Gonzaga, Carlo (Charles I)</v>
      </c>
      <c r="G160" t="str">
        <v>von Habsburg, Maria Magdalena</v>
      </c>
      <c r="H160" t="str" cm="1">
        <f t="array" ref="H160">_xlfn.LET(
_xlpm.t,$G160,
_xlpm.cands,_xlfn._xlws.FILTER('Place Profiles'!$G$2:$G$929,'Place Profiles'!$G$2:$G$929&lt;&gt;""),
_xlpm.counts,COUNTIFS('Raw Data'!$G$2:$G$501,_xlpm.t,'Raw Data'!$F$2:$F$501,_xlpm.cands),
_xlpm.mx,MAX(_xlpm.counts),
IF(_xlpm.mx=0,0,_xlfn.TEXTJOIN(" / ",TRUE,_xlfn._xlws.FILTER(_xlpm.cands,_xlpm.counts=_xlpm.mx)))
)</f>
        <v>Firenze/Fiorenza</v>
      </c>
      <c r="I160">
        <f>_xlfn.XLOOKUP(H160,'Place Profiles'!A:A,'Place Profiles'!B:B,"0")</f>
        <v>43.773821664204803</v>
      </c>
      <c r="J160">
        <f>_xlfn.XLOOKUP(H160,'Place Profiles'!A:A,'Place Profiles'!C:C,"0")</f>
        <v>11.2555362617661</v>
      </c>
    </row>
    <row r="161" spans="1:10" x14ac:dyDescent="0.45">
      <c r="A161" t="str">
        <v>ID_00160</v>
      </c>
      <c r="B161" t="str">
        <v>1628/04/10</v>
      </c>
      <c r="C161" t="str">
        <v>Mantova</v>
      </c>
      <c r="D161" s="10">
        <f>_xlfn.XLOOKUP(C161,'Place Profiles'!A:A,'Place Profiles'!B:B,"0")</f>
        <v>45.156437254514501</v>
      </c>
      <c r="E161" s="10">
        <f>_xlfn.XLOOKUP(C161,'Place Profiles'!A:A,'Place Profiles'!C:C,"0")</f>
        <v>10.7914436839782</v>
      </c>
      <c r="F161" t="str">
        <v>Gonzaga, Carlo (Charles I)</v>
      </c>
      <c r="G161" t="str">
        <v>di Lorena, Cristina</v>
      </c>
      <c r="H161" t="str" cm="1">
        <f t="array" ref="H161">_xlfn.LET(
_xlpm.t,$G161,
_xlpm.cands,_xlfn._xlws.FILTER('Place Profiles'!$G$2:$G$929,'Place Profiles'!$G$2:$G$929&lt;&gt;""),
_xlpm.counts,COUNTIFS('Raw Data'!$G$2:$G$501,_xlpm.t,'Raw Data'!$F$2:$F$501,_xlpm.cands),
_xlpm.mx,MAX(_xlpm.counts),
IF(_xlpm.mx=0,0,_xlfn.TEXTJOIN(" / ",TRUE,_xlfn._xlws.FILTER(_xlpm.cands,_xlpm.counts=_xlpm.mx)))
)</f>
        <v>Firenze/Fiorenza</v>
      </c>
      <c r="I161">
        <f>_xlfn.XLOOKUP(H161,'Place Profiles'!A:A,'Place Profiles'!B:B,"0")</f>
        <v>43.773821664204803</v>
      </c>
      <c r="J161">
        <f>_xlfn.XLOOKUP(H161,'Place Profiles'!A:A,'Place Profiles'!C:C,"0")</f>
        <v>11.2555362617661</v>
      </c>
    </row>
    <row r="162" spans="1:10" x14ac:dyDescent="0.45">
      <c r="A162" t="str">
        <v>ID_00161</v>
      </c>
      <c r="B162" t="str">
        <v>1628/04/12</v>
      </c>
      <c r="C162" t="str">
        <v>Mantova</v>
      </c>
      <c r="D162" s="10">
        <f>_xlfn.XLOOKUP(C162,'Place Profiles'!A:A,'Place Profiles'!B:B,"0")</f>
        <v>45.156437254514501</v>
      </c>
      <c r="E162" s="10">
        <f>_xlfn.XLOOKUP(C162,'Place Profiles'!A:A,'Place Profiles'!C:C,"0")</f>
        <v>10.7914436839782</v>
      </c>
      <c r="F162" t="str">
        <v>Gonzaga, Carlo (Charles II)</v>
      </c>
      <c r="G162" t="str">
        <v>di Lorena, Cristina</v>
      </c>
      <c r="H162" t="str" cm="1">
        <f t="array" ref="H162">_xlfn.LET(
_xlpm.t,$G162,
_xlpm.cands,_xlfn._xlws.FILTER('Place Profiles'!$G$2:$G$929,'Place Profiles'!$G$2:$G$929&lt;&gt;""),
_xlpm.counts,COUNTIFS('Raw Data'!$G$2:$G$501,_xlpm.t,'Raw Data'!$F$2:$F$501,_xlpm.cands),
_xlpm.mx,MAX(_xlpm.counts),
IF(_xlpm.mx=0,0,_xlfn.TEXTJOIN(" / ",TRUE,_xlfn._xlws.FILTER(_xlpm.cands,_xlpm.counts=_xlpm.mx)))
)</f>
        <v>Firenze/Fiorenza</v>
      </c>
      <c r="I162">
        <f>_xlfn.XLOOKUP(H162,'Place Profiles'!A:A,'Place Profiles'!B:B,"0")</f>
        <v>43.773821664204803</v>
      </c>
      <c r="J162">
        <f>_xlfn.XLOOKUP(H162,'Place Profiles'!A:A,'Place Profiles'!C:C,"0")</f>
        <v>11.2555362617661</v>
      </c>
    </row>
    <row r="163" spans="1:10" x14ac:dyDescent="0.45">
      <c r="A163" t="str">
        <v>ID_00162</v>
      </c>
      <c r="B163" t="str">
        <v>1628/04/12</v>
      </c>
      <c r="C163" t="str">
        <v>Mantova</v>
      </c>
      <c r="D163" s="10">
        <f>_xlfn.XLOOKUP(C163,'Place Profiles'!A:A,'Place Profiles'!B:B,"0")</f>
        <v>45.156437254514501</v>
      </c>
      <c r="E163" s="10">
        <f>_xlfn.XLOOKUP(C163,'Place Profiles'!A:A,'Place Profiles'!C:C,"0")</f>
        <v>10.7914436839782</v>
      </c>
      <c r="F163" t="str">
        <v>Gonzaga, Carlo (Charles II)</v>
      </c>
      <c r="G163" t="str">
        <v>von Habsburg, Maria Magdalena</v>
      </c>
      <c r="H163" t="str" cm="1">
        <f t="array" ref="H163">_xlfn.LET(
_xlpm.t,$G163,
_xlpm.cands,_xlfn._xlws.FILTER('Place Profiles'!$G$2:$G$929,'Place Profiles'!$G$2:$G$929&lt;&gt;""),
_xlpm.counts,COUNTIFS('Raw Data'!$G$2:$G$501,_xlpm.t,'Raw Data'!$F$2:$F$501,_xlpm.cands),
_xlpm.mx,MAX(_xlpm.counts),
IF(_xlpm.mx=0,0,_xlfn.TEXTJOIN(" / ",TRUE,_xlfn._xlws.FILTER(_xlpm.cands,_xlpm.counts=_xlpm.mx)))
)</f>
        <v>Firenze/Fiorenza</v>
      </c>
      <c r="I163">
        <f>_xlfn.XLOOKUP(H163,'Place Profiles'!A:A,'Place Profiles'!B:B,"0")</f>
        <v>43.773821664204803</v>
      </c>
      <c r="J163">
        <f>_xlfn.XLOOKUP(H163,'Place Profiles'!A:A,'Place Profiles'!C:C,"0")</f>
        <v>11.2555362617661</v>
      </c>
    </row>
    <row r="164" spans="1:10" x14ac:dyDescent="0.45">
      <c r="A164" t="str">
        <v>ID_00163</v>
      </c>
      <c r="B164" t="str">
        <v>1628/05/27</v>
      </c>
      <c r="C164" t="str">
        <v>Mantova</v>
      </c>
      <c r="D164" s="10">
        <f>_xlfn.XLOOKUP(C164,'Place Profiles'!A:A,'Place Profiles'!B:B,"0")</f>
        <v>45.156437254514501</v>
      </c>
      <c r="E164" s="10">
        <f>_xlfn.XLOOKUP(C164,'Place Profiles'!A:A,'Place Profiles'!C:C,"0")</f>
        <v>10.7914436839782</v>
      </c>
      <c r="F164" t="str">
        <v>Agnello, Giulio</v>
      </c>
      <c r="G164" t="str">
        <v>Unknown</v>
      </c>
      <c r="H164" t="str" cm="1">
        <f t="array" ref="H164">_xlfn.LET(
_xlpm.t,$G164,
_xlpm.cands,_xlfn._xlws.FILTER('Place Profiles'!$G$2:$G$929,'Place Profiles'!$G$2:$G$929&lt;&gt;""),
_xlpm.counts,COUNTIFS('Raw Data'!$G$2:$G$501,_xlpm.t,'Raw Data'!$F$2:$F$501,_xlpm.cands),
_xlpm.mx,MAX(_xlpm.counts),
IF(_xlpm.mx=0,0,_xlfn.TEXTJOIN(" / ",TRUE,_xlfn._xlws.FILTER(_xlpm.cands,_xlpm.counts=_xlpm.mx)))
)</f>
        <v>Unknown</v>
      </c>
      <c r="I164">
        <f>_xlfn.XLOOKUP(H164,'Place Profiles'!A:A,'Place Profiles'!B:B,"0")</f>
        <v>0</v>
      </c>
      <c r="J164">
        <f>_xlfn.XLOOKUP(H164,'Place Profiles'!A:A,'Place Profiles'!C:C,"0")</f>
        <v>0</v>
      </c>
    </row>
    <row r="165" spans="1:10" x14ac:dyDescent="0.45">
      <c r="A165" t="str">
        <v>ID_00164</v>
      </c>
      <c r="B165" t="str">
        <v>1628/06/13</v>
      </c>
      <c r="C165" t="str">
        <v>Mantova</v>
      </c>
      <c r="D165" s="10">
        <f>_xlfn.XLOOKUP(C165,'Place Profiles'!A:A,'Place Profiles'!B:B,"0")</f>
        <v>45.156437254514501</v>
      </c>
      <c r="E165" s="10">
        <f>_xlfn.XLOOKUP(C165,'Place Profiles'!A:A,'Place Profiles'!C:C,"0")</f>
        <v>10.7914436839782</v>
      </c>
      <c r="F165" t="str">
        <v>Nerli, Francesco</v>
      </c>
      <c r="G165" t="str">
        <v>Unknown</v>
      </c>
      <c r="H165" t="str" cm="1">
        <f t="array" ref="H165">_xlfn.LET(
_xlpm.t,$G165,
_xlpm.cands,_xlfn._xlws.FILTER('Place Profiles'!$G$2:$G$929,'Place Profiles'!$G$2:$G$929&lt;&gt;""),
_xlpm.counts,COUNTIFS('Raw Data'!$G$2:$G$501,_xlpm.t,'Raw Data'!$F$2:$F$501,_xlpm.cands),
_xlpm.mx,MAX(_xlpm.counts),
IF(_xlpm.mx=0,0,_xlfn.TEXTJOIN(" / ",TRUE,_xlfn._xlws.FILTER(_xlpm.cands,_xlpm.counts=_xlpm.mx)))
)</f>
        <v>Unknown</v>
      </c>
      <c r="I165">
        <f>_xlfn.XLOOKUP(H165,'Place Profiles'!A:A,'Place Profiles'!B:B,"0")</f>
        <v>0</v>
      </c>
      <c r="J165">
        <f>_xlfn.XLOOKUP(H165,'Place Profiles'!A:A,'Place Profiles'!C:C,"0")</f>
        <v>0</v>
      </c>
    </row>
    <row r="166" spans="1:10" x14ac:dyDescent="0.45">
      <c r="A166" t="str">
        <v>ID_00165</v>
      </c>
      <c r="B166" t="str">
        <v>1628/06/17</v>
      </c>
      <c r="C166" t="str">
        <v>Mantova</v>
      </c>
      <c r="D166" s="10">
        <f>_xlfn.XLOOKUP(C166,'Place Profiles'!A:A,'Place Profiles'!B:B,"0")</f>
        <v>45.156437254514501</v>
      </c>
      <c r="E166" s="10">
        <f>_xlfn.XLOOKUP(C166,'Place Profiles'!A:A,'Place Profiles'!C:C,"0")</f>
        <v>10.7914436839782</v>
      </c>
      <c r="F166" t="str">
        <v>Gonzaga, Carlo (Charles II)</v>
      </c>
      <c r="G166" t="str">
        <v>de' Medici, Ferdinando II</v>
      </c>
      <c r="H166" cm="1">
        <f t="array" ref="H166">_xlfn.LET(
_xlpm.t,$G166,
_xlpm.cands,_xlfn._xlws.FILTER('Place Profiles'!$G$2:$G$929,'Place Profiles'!$G$2:$G$929&lt;&gt;""),
_xlpm.counts,COUNTIFS('Raw Data'!$G$2:$G$501,_xlpm.t,'Raw Data'!$F$2:$F$501,_xlpm.cands),
_xlpm.mx,MAX(_xlpm.counts),
IF(_xlpm.mx=0,0,_xlfn.TEXTJOIN(" / ",TRUE,_xlfn._xlws.FILTER(_xlpm.cands,_xlpm.counts=_xlpm.mx)))
)</f>
        <v>0</v>
      </c>
      <c r="I166" t="str">
        <f>_xlfn.XLOOKUP(H166,'Place Profiles'!A:A,'Place Profiles'!B:B,"0")</f>
        <v>0</v>
      </c>
      <c r="J166" t="str">
        <f>_xlfn.XLOOKUP(H166,'Place Profiles'!A:A,'Place Profiles'!C:C,"0")</f>
        <v>0</v>
      </c>
    </row>
    <row r="167" spans="1:10" x14ac:dyDescent="0.45">
      <c r="A167" t="str">
        <v>ID_00166</v>
      </c>
      <c r="B167" t="str">
        <v>1628/06/18</v>
      </c>
      <c r="C167" t="str">
        <v>Mantova</v>
      </c>
      <c r="D167" s="10">
        <f>_xlfn.XLOOKUP(C167,'Place Profiles'!A:A,'Place Profiles'!B:B,"0")</f>
        <v>45.156437254514501</v>
      </c>
      <c r="E167" s="10">
        <f>_xlfn.XLOOKUP(C167,'Place Profiles'!A:A,'Place Profiles'!C:C,"0")</f>
        <v>10.7914436839782</v>
      </c>
      <c r="F167" t="str">
        <v>Gonzaga, Carlo (Charles I)</v>
      </c>
      <c r="G167" t="str">
        <v>de' Medici, Ferdinando II</v>
      </c>
      <c r="H167" cm="1">
        <f t="array" ref="H167">_xlfn.LET(
_xlpm.t,$G167,
_xlpm.cands,_xlfn._xlws.FILTER('Place Profiles'!$G$2:$G$929,'Place Profiles'!$G$2:$G$929&lt;&gt;""),
_xlpm.counts,COUNTIFS('Raw Data'!$G$2:$G$501,_xlpm.t,'Raw Data'!$F$2:$F$501,_xlpm.cands),
_xlpm.mx,MAX(_xlpm.counts),
IF(_xlpm.mx=0,0,_xlfn.TEXTJOIN(" / ",TRUE,_xlfn._xlws.FILTER(_xlpm.cands,_xlpm.counts=_xlpm.mx)))
)</f>
        <v>0</v>
      </c>
      <c r="I167" t="str">
        <f>_xlfn.XLOOKUP(H167,'Place Profiles'!A:A,'Place Profiles'!B:B,"0")</f>
        <v>0</v>
      </c>
      <c r="J167" t="str">
        <f>_xlfn.XLOOKUP(H167,'Place Profiles'!A:A,'Place Profiles'!C:C,"0")</f>
        <v>0</v>
      </c>
    </row>
    <row r="168" spans="1:10" x14ac:dyDescent="0.45">
      <c r="A168" t="str">
        <v>ID_00167</v>
      </c>
      <c r="B168" t="str">
        <v>1628/06/17</v>
      </c>
      <c r="C168" t="str">
        <v>Mantova</v>
      </c>
      <c r="D168" s="10">
        <f>_xlfn.XLOOKUP(C168,'Place Profiles'!A:A,'Place Profiles'!B:B,"0")</f>
        <v>45.156437254514501</v>
      </c>
      <c r="E168" s="10">
        <f>_xlfn.XLOOKUP(C168,'Place Profiles'!A:A,'Place Profiles'!C:C,"0")</f>
        <v>10.7914436839782</v>
      </c>
      <c r="F168" t="str">
        <v>Gonzaga, Carlo (Charles II)</v>
      </c>
      <c r="G168" t="str">
        <v>de' Medici, Gio. Carlo</v>
      </c>
      <c r="H168" cm="1">
        <f t="array" ref="H168">_xlfn.LET(
_xlpm.t,$G168,
_xlpm.cands,_xlfn._xlws.FILTER('Place Profiles'!$G$2:$G$929,'Place Profiles'!$G$2:$G$929&lt;&gt;""),
_xlpm.counts,COUNTIFS('Raw Data'!$G$2:$G$501,_xlpm.t,'Raw Data'!$F$2:$F$501,_xlpm.cands),
_xlpm.mx,MAX(_xlpm.counts),
IF(_xlpm.mx=0,0,_xlfn.TEXTJOIN(" / ",TRUE,_xlfn._xlws.FILTER(_xlpm.cands,_xlpm.counts=_xlpm.mx)))
)</f>
        <v>0</v>
      </c>
      <c r="I168" t="str">
        <f>_xlfn.XLOOKUP(H168,'Place Profiles'!A:A,'Place Profiles'!B:B,"0")</f>
        <v>0</v>
      </c>
      <c r="J168" t="str">
        <f>_xlfn.XLOOKUP(H168,'Place Profiles'!A:A,'Place Profiles'!C:C,"0")</f>
        <v>0</v>
      </c>
    </row>
    <row r="169" spans="1:10" x14ac:dyDescent="0.45">
      <c r="A169" t="str">
        <v>ID_00168</v>
      </c>
      <c r="B169" t="str">
        <v>1628/06/18</v>
      </c>
      <c r="C169" t="str">
        <v>Mantova</v>
      </c>
      <c r="D169" s="10">
        <f>_xlfn.XLOOKUP(C169,'Place Profiles'!A:A,'Place Profiles'!B:B,"0")</f>
        <v>45.156437254514501</v>
      </c>
      <c r="E169" s="10">
        <f>_xlfn.XLOOKUP(C169,'Place Profiles'!A:A,'Place Profiles'!C:C,"0")</f>
        <v>10.7914436839782</v>
      </c>
      <c r="F169" t="str">
        <v>Gonzaga, Carlo (Charles I)</v>
      </c>
      <c r="G169" t="str">
        <v>de' Medici, Gio. Carlo</v>
      </c>
      <c r="H169" cm="1">
        <f t="array" ref="H169">_xlfn.LET(
_xlpm.t,$G169,
_xlpm.cands,_xlfn._xlws.FILTER('Place Profiles'!$G$2:$G$929,'Place Profiles'!$G$2:$G$929&lt;&gt;""),
_xlpm.counts,COUNTIFS('Raw Data'!$G$2:$G$501,_xlpm.t,'Raw Data'!$F$2:$F$501,_xlpm.cands),
_xlpm.mx,MAX(_xlpm.counts),
IF(_xlpm.mx=0,0,_xlfn.TEXTJOIN(" / ",TRUE,_xlfn._xlws.FILTER(_xlpm.cands,_xlpm.counts=_xlpm.mx)))
)</f>
        <v>0</v>
      </c>
      <c r="I169" t="str">
        <f>_xlfn.XLOOKUP(H169,'Place Profiles'!A:A,'Place Profiles'!B:B,"0")</f>
        <v>0</v>
      </c>
      <c r="J169" t="str">
        <f>_xlfn.XLOOKUP(H169,'Place Profiles'!A:A,'Place Profiles'!C:C,"0")</f>
        <v>0</v>
      </c>
    </row>
    <row r="170" spans="1:10" x14ac:dyDescent="0.45">
      <c r="A170" t="str">
        <v>ID_00169</v>
      </c>
      <c r="B170" t="str">
        <v>1628/06/30</v>
      </c>
      <c r="C170" t="str">
        <v>Parma</v>
      </c>
      <c r="D170" s="10">
        <f>_xlfn.XLOOKUP(C170,'Place Profiles'!A:A,'Place Profiles'!B:B,"0")</f>
        <v>44.801471999999997</v>
      </c>
      <c r="E170" s="10">
        <f>_xlfn.XLOOKUP(C170,'Place Profiles'!A:A,'Place Profiles'!C:C,"0")</f>
        <v>10.327999999999999</v>
      </c>
      <c r="F170" t="str">
        <v>Salviati Aud___, Costanza</v>
      </c>
      <c r="G170" t="str">
        <v>di Lorena, Cristina</v>
      </c>
      <c r="H170" t="str" cm="1">
        <f t="array" ref="H170">_xlfn.LET(
_xlpm.t,$G170,
_xlpm.cands,_xlfn._xlws.FILTER('Place Profiles'!$G$2:$G$929,'Place Profiles'!$G$2:$G$929&lt;&gt;""),
_xlpm.counts,COUNTIFS('Raw Data'!$G$2:$G$501,_xlpm.t,'Raw Data'!$F$2:$F$501,_xlpm.cands),
_xlpm.mx,MAX(_xlpm.counts),
IF(_xlpm.mx=0,0,_xlfn.TEXTJOIN(" / ",TRUE,_xlfn._xlws.FILTER(_xlpm.cands,_xlpm.counts=_xlpm.mx)))
)</f>
        <v>Firenze/Fiorenza</v>
      </c>
      <c r="I170">
        <f>_xlfn.XLOOKUP(H170,'Place Profiles'!A:A,'Place Profiles'!B:B,"0")</f>
        <v>43.773821664204803</v>
      </c>
      <c r="J170">
        <f>_xlfn.XLOOKUP(H170,'Place Profiles'!A:A,'Place Profiles'!C:C,"0")</f>
        <v>11.2555362617661</v>
      </c>
    </row>
    <row r="171" spans="1:10" x14ac:dyDescent="0.45">
      <c r="A171" t="str">
        <v>ID_00170</v>
      </c>
      <c r="B171" t="str">
        <v>1628/01/15</v>
      </c>
      <c r="C171" t="str">
        <v>Mantova</v>
      </c>
      <c r="D171" s="10">
        <f>_xlfn.XLOOKUP(C171,'Place Profiles'!A:A,'Place Profiles'!B:B,"0")</f>
        <v>45.156437254514501</v>
      </c>
      <c r="E171" s="10">
        <f>_xlfn.XLOOKUP(C171,'Place Profiles'!A:A,'Place Profiles'!C:C,"0")</f>
        <v>10.7914436839782</v>
      </c>
      <c r="F171" t="str">
        <v>Gonzaga, Maria</v>
      </c>
      <c r="G171" t="str">
        <v>von Habsburg, Maria Magdalena</v>
      </c>
      <c r="H171" t="str" cm="1">
        <f t="array" ref="H171">_xlfn.LET(
_xlpm.t,$G171,
_xlpm.cands,_xlfn._xlws.FILTER('Place Profiles'!$G$2:$G$929,'Place Profiles'!$G$2:$G$929&lt;&gt;""),
_xlpm.counts,COUNTIFS('Raw Data'!$G$2:$G$501,_xlpm.t,'Raw Data'!$F$2:$F$501,_xlpm.cands),
_xlpm.mx,MAX(_xlpm.counts),
IF(_xlpm.mx=0,0,_xlfn.TEXTJOIN(" / ",TRUE,_xlfn._xlws.FILTER(_xlpm.cands,_xlpm.counts=_xlpm.mx)))
)</f>
        <v>Firenze/Fiorenza</v>
      </c>
      <c r="I171">
        <f>_xlfn.XLOOKUP(H171,'Place Profiles'!A:A,'Place Profiles'!B:B,"0")</f>
        <v>43.773821664204803</v>
      </c>
      <c r="J171">
        <f>_xlfn.XLOOKUP(H171,'Place Profiles'!A:A,'Place Profiles'!C:C,"0")</f>
        <v>11.2555362617661</v>
      </c>
    </row>
    <row r="172" spans="1:10" x14ac:dyDescent="0.45">
      <c r="A172" t="str">
        <v>ID_00171</v>
      </c>
      <c r="B172" t="str">
        <v>1628/07/05</v>
      </c>
      <c r="C172" t="str">
        <v>Mantova</v>
      </c>
      <c r="D172" s="10">
        <f>_xlfn.XLOOKUP(C172,'Place Profiles'!A:A,'Place Profiles'!B:B,"0")</f>
        <v>45.156437254514501</v>
      </c>
      <c r="E172" s="10">
        <f>_xlfn.XLOOKUP(C172,'Place Profiles'!A:A,'Place Profiles'!C:C,"0")</f>
        <v>10.7914436839782</v>
      </c>
      <c r="F172" t="str">
        <v>Gonzaga, Carlo (Charles I)</v>
      </c>
      <c r="G172" t="str">
        <v>de' Medici, Ferdinando II</v>
      </c>
      <c r="H172" cm="1">
        <f t="array" ref="H172">_xlfn.LET(
_xlpm.t,$G172,
_xlpm.cands,_xlfn._xlws.FILTER('Place Profiles'!$G$2:$G$929,'Place Profiles'!$G$2:$G$929&lt;&gt;""),
_xlpm.counts,COUNTIFS('Raw Data'!$G$2:$G$501,_xlpm.t,'Raw Data'!$F$2:$F$501,_xlpm.cands),
_xlpm.mx,MAX(_xlpm.counts),
IF(_xlpm.mx=0,0,_xlfn.TEXTJOIN(" / ",TRUE,_xlfn._xlws.FILTER(_xlpm.cands,_xlpm.counts=_xlpm.mx)))
)</f>
        <v>0</v>
      </c>
      <c r="I172" t="str">
        <f>_xlfn.XLOOKUP(H172,'Place Profiles'!A:A,'Place Profiles'!B:B,"0")</f>
        <v>0</v>
      </c>
      <c r="J172" t="str">
        <f>_xlfn.XLOOKUP(H172,'Place Profiles'!A:A,'Place Profiles'!C:C,"0")</f>
        <v>0</v>
      </c>
    </row>
    <row r="173" spans="1:10" x14ac:dyDescent="0.45">
      <c r="A173" t="str">
        <v>ID_00172</v>
      </c>
      <c r="B173" t="str">
        <v>1628/07/11</v>
      </c>
      <c r="C173" t="str">
        <v>Mantova</v>
      </c>
      <c r="D173" s="10">
        <f>_xlfn.XLOOKUP(C173,'Place Profiles'!A:A,'Place Profiles'!B:B,"0")</f>
        <v>45.156437254514501</v>
      </c>
      <c r="E173" s="10">
        <f>_xlfn.XLOOKUP(C173,'Place Profiles'!A:A,'Place Profiles'!C:C,"0")</f>
        <v>10.7914436839782</v>
      </c>
      <c r="F173" t="str">
        <v>Gonzaga, Carlo (Charles II)</v>
      </c>
      <c r="G173" t="str">
        <v>de' Medici, Ferdinando II</v>
      </c>
      <c r="H173" cm="1">
        <f t="array" ref="H173">_xlfn.LET(
_xlpm.t,$G173,
_xlpm.cands,_xlfn._xlws.FILTER('Place Profiles'!$G$2:$G$929,'Place Profiles'!$G$2:$G$929&lt;&gt;""),
_xlpm.counts,COUNTIFS('Raw Data'!$G$2:$G$501,_xlpm.t,'Raw Data'!$F$2:$F$501,_xlpm.cands),
_xlpm.mx,MAX(_xlpm.counts),
IF(_xlpm.mx=0,0,_xlfn.TEXTJOIN(" / ",TRUE,_xlfn._xlws.FILTER(_xlpm.cands,_xlpm.counts=_xlpm.mx)))
)</f>
        <v>0</v>
      </c>
      <c r="I173" t="str">
        <f>_xlfn.XLOOKUP(H173,'Place Profiles'!A:A,'Place Profiles'!B:B,"0")</f>
        <v>0</v>
      </c>
      <c r="J173" t="str">
        <f>_xlfn.XLOOKUP(H173,'Place Profiles'!A:A,'Place Profiles'!C:C,"0")</f>
        <v>0</v>
      </c>
    </row>
    <row r="174" spans="1:10" x14ac:dyDescent="0.45">
      <c r="A174" t="str">
        <v>ID_00173</v>
      </c>
      <c r="B174" t="str">
        <v>1628/12/04</v>
      </c>
      <c r="C174" t="str">
        <v>Mantova</v>
      </c>
      <c r="D174" s="10">
        <f>_xlfn.XLOOKUP(C174,'Place Profiles'!A:A,'Place Profiles'!B:B,"0")</f>
        <v>45.156437254514501</v>
      </c>
      <c r="E174" s="10">
        <f>_xlfn.XLOOKUP(C174,'Place Profiles'!A:A,'Place Profiles'!C:C,"0")</f>
        <v>10.7914436839782</v>
      </c>
      <c r="F174" t="str">
        <v>?, Marc Antonio</v>
      </c>
      <c r="G174" t="str">
        <v>Unknown</v>
      </c>
      <c r="H174" t="str" cm="1">
        <f t="array" ref="H174">_xlfn.LET(
_xlpm.t,$G174,
_xlpm.cands,_xlfn._xlws.FILTER('Place Profiles'!$G$2:$G$929,'Place Profiles'!$G$2:$G$929&lt;&gt;""),
_xlpm.counts,COUNTIFS('Raw Data'!$G$2:$G$501,_xlpm.t,'Raw Data'!$F$2:$F$501,_xlpm.cands),
_xlpm.mx,MAX(_xlpm.counts),
IF(_xlpm.mx=0,0,_xlfn.TEXTJOIN(" / ",TRUE,_xlfn._xlws.FILTER(_xlpm.cands,_xlpm.counts=_xlpm.mx)))
)</f>
        <v>Unknown</v>
      </c>
      <c r="I174">
        <f>_xlfn.XLOOKUP(H174,'Place Profiles'!A:A,'Place Profiles'!B:B,"0")</f>
        <v>0</v>
      </c>
      <c r="J174">
        <f>_xlfn.XLOOKUP(H174,'Place Profiles'!A:A,'Place Profiles'!C:C,"0")</f>
        <v>0</v>
      </c>
    </row>
    <row r="175" spans="1:10" x14ac:dyDescent="0.45">
      <c r="A175" t="str">
        <v>ID_00174</v>
      </c>
      <c r="B175" t="str">
        <v>1628/12/18</v>
      </c>
      <c r="C175" t="str">
        <v>Mantova</v>
      </c>
      <c r="D175" s="10">
        <f>_xlfn.XLOOKUP(C175,'Place Profiles'!A:A,'Place Profiles'!B:B,"0")</f>
        <v>45.156437254514501</v>
      </c>
      <c r="E175" s="10">
        <f>_xlfn.XLOOKUP(C175,'Place Profiles'!A:A,'Place Profiles'!C:C,"0")</f>
        <v>10.7914436839782</v>
      </c>
      <c r="F175" t="str">
        <v>Gonzaga, Lud.co Francesco</v>
      </c>
      <c r="G175" t="str">
        <v>von Habsburg, Maria Magdalena</v>
      </c>
      <c r="H175" t="str" cm="1">
        <f t="array" ref="H175">_xlfn.LET(
_xlpm.t,$G175,
_xlpm.cands,_xlfn._xlws.FILTER('Place Profiles'!$G$2:$G$929,'Place Profiles'!$G$2:$G$929&lt;&gt;""),
_xlpm.counts,COUNTIFS('Raw Data'!$G$2:$G$501,_xlpm.t,'Raw Data'!$F$2:$F$501,_xlpm.cands),
_xlpm.mx,MAX(_xlpm.counts),
IF(_xlpm.mx=0,0,_xlfn.TEXTJOIN(" / ",TRUE,_xlfn._xlws.FILTER(_xlpm.cands,_xlpm.counts=_xlpm.mx)))
)</f>
        <v>Firenze/Fiorenza</v>
      </c>
      <c r="I175">
        <f>_xlfn.XLOOKUP(H175,'Place Profiles'!A:A,'Place Profiles'!B:B,"0")</f>
        <v>43.773821664204803</v>
      </c>
      <c r="J175">
        <f>_xlfn.XLOOKUP(H175,'Place Profiles'!A:A,'Place Profiles'!C:C,"0")</f>
        <v>11.2555362617661</v>
      </c>
    </row>
    <row r="176" spans="1:10" x14ac:dyDescent="0.45">
      <c r="A176" t="str">
        <v>ID_00175</v>
      </c>
      <c r="B176" t="str">
        <v>1628/12/20</v>
      </c>
      <c r="C176" t="str">
        <v>Mantova</v>
      </c>
      <c r="D176" s="10">
        <f>_xlfn.XLOOKUP(C176,'Place Profiles'!A:A,'Place Profiles'!B:B,"0")</f>
        <v>45.156437254514501</v>
      </c>
      <c r="E176" s="10">
        <f>_xlfn.XLOOKUP(C176,'Place Profiles'!A:A,'Place Profiles'!C:C,"0")</f>
        <v>10.7914436839782</v>
      </c>
      <c r="F176" t="str">
        <v>Gonzaga, Gio Francesco</v>
      </c>
      <c r="G176" t="str">
        <v>von Habsburg, Maria Magdalena</v>
      </c>
      <c r="H176" t="str" cm="1">
        <f t="array" ref="H176">_xlfn.LET(
_xlpm.t,$G176,
_xlpm.cands,_xlfn._xlws.FILTER('Place Profiles'!$G$2:$G$929,'Place Profiles'!$G$2:$G$929&lt;&gt;""),
_xlpm.counts,COUNTIFS('Raw Data'!$G$2:$G$501,_xlpm.t,'Raw Data'!$F$2:$F$501,_xlpm.cands),
_xlpm.mx,MAX(_xlpm.counts),
IF(_xlpm.mx=0,0,_xlfn.TEXTJOIN(" / ",TRUE,_xlfn._xlws.FILTER(_xlpm.cands,_xlpm.counts=_xlpm.mx)))
)</f>
        <v>Firenze/Fiorenza</v>
      </c>
      <c r="I176">
        <f>_xlfn.XLOOKUP(H176,'Place Profiles'!A:A,'Place Profiles'!B:B,"0")</f>
        <v>43.773821664204803</v>
      </c>
      <c r="J176">
        <f>_xlfn.XLOOKUP(H176,'Place Profiles'!A:A,'Place Profiles'!C:C,"0")</f>
        <v>11.2555362617661</v>
      </c>
    </row>
    <row r="177" spans="1:10" x14ac:dyDescent="0.45">
      <c r="A177" t="str">
        <v>ID_00176</v>
      </c>
      <c r="B177" t="str">
        <v>1628/12/20</v>
      </c>
      <c r="C177" t="str">
        <v>Mantova</v>
      </c>
      <c r="D177" s="10">
        <f>_xlfn.XLOOKUP(C177,'Place Profiles'!A:A,'Place Profiles'!B:B,"0")</f>
        <v>45.156437254514501</v>
      </c>
      <c r="E177" s="10">
        <f>_xlfn.XLOOKUP(C177,'Place Profiles'!A:A,'Place Profiles'!C:C,"0")</f>
        <v>10.7914436839782</v>
      </c>
      <c r="F177" t="str">
        <v>Gonzaga, Federico</v>
      </c>
      <c r="G177" t="str">
        <v>von Habsburg, Maria Magdalena</v>
      </c>
      <c r="H177" t="str" cm="1">
        <f t="array" ref="H177">_xlfn.LET(
_xlpm.t,$G177,
_xlpm.cands,_xlfn._xlws.FILTER('Place Profiles'!$G$2:$G$929,'Place Profiles'!$G$2:$G$929&lt;&gt;""),
_xlpm.counts,COUNTIFS('Raw Data'!$G$2:$G$501,_xlpm.t,'Raw Data'!$F$2:$F$501,_xlpm.cands),
_xlpm.mx,MAX(_xlpm.counts),
IF(_xlpm.mx=0,0,_xlfn.TEXTJOIN(" / ",TRUE,_xlfn._xlws.FILTER(_xlpm.cands,_xlpm.counts=_xlpm.mx)))
)</f>
        <v>Firenze/Fiorenza</v>
      </c>
      <c r="I177">
        <f>_xlfn.XLOOKUP(H177,'Place Profiles'!A:A,'Place Profiles'!B:B,"0")</f>
        <v>43.773821664204803</v>
      </c>
      <c r="J177">
        <f>_xlfn.XLOOKUP(H177,'Place Profiles'!A:A,'Place Profiles'!C:C,"0")</f>
        <v>11.2555362617661</v>
      </c>
    </row>
    <row r="178" spans="1:10" x14ac:dyDescent="0.45">
      <c r="A178" t="str">
        <v>ID_00177</v>
      </c>
      <c r="B178" t="str">
        <v>1628/12/20</v>
      </c>
      <c r="C178" t="str">
        <v>Mantova</v>
      </c>
      <c r="D178" s="10">
        <f>_xlfn.XLOOKUP(C178,'Place Profiles'!A:A,'Place Profiles'!B:B,"0")</f>
        <v>45.156437254514501</v>
      </c>
      <c r="E178" s="10">
        <f>_xlfn.XLOOKUP(C178,'Place Profiles'!A:A,'Place Profiles'!C:C,"0")</f>
        <v>10.7914436839782</v>
      </c>
      <c r="F178" t="str">
        <v>Nerli, Francesco</v>
      </c>
      <c r="G178" t="str">
        <v>Unknown</v>
      </c>
      <c r="H178" t="str" cm="1">
        <f t="array" ref="H178">_xlfn.LET(
_xlpm.t,$G178,
_xlpm.cands,_xlfn._xlws.FILTER('Place Profiles'!$G$2:$G$929,'Place Profiles'!$G$2:$G$929&lt;&gt;""),
_xlpm.counts,COUNTIFS('Raw Data'!$G$2:$G$501,_xlpm.t,'Raw Data'!$F$2:$F$501,_xlpm.cands),
_xlpm.mx,MAX(_xlpm.counts),
IF(_xlpm.mx=0,0,_xlfn.TEXTJOIN(" / ",TRUE,_xlfn._xlws.FILTER(_xlpm.cands,_xlpm.counts=_xlpm.mx)))
)</f>
        <v>Unknown</v>
      </c>
      <c r="I178">
        <f>_xlfn.XLOOKUP(H178,'Place Profiles'!A:A,'Place Profiles'!B:B,"0")</f>
        <v>0</v>
      </c>
      <c r="J178">
        <f>_xlfn.XLOOKUP(H178,'Place Profiles'!A:A,'Place Profiles'!C:C,"0")</f>
        <v>0</v>
      </c>
    </row>
    <row r="179" spans="1:10" x14ac:dyDescent="0.45">
      <c r="A179" t="str">
        <v>ID_00178</v>
      </c>
      <c r="B179" t="str">
        <v>1628/01/15</v>
      </c>
      <c r="C179" t="str">
        <v>Mantova</v>
      </c>
      <c r="D179" s="10">
        <f>_xlfn.XLOOKUP(C179,'Place Profiles'!A:A,'Place Profiles'!B:B,"0")</f>
        <v>45.156437254514501</v>
      </c>
      <c r="E179" s="10">
        <f>_xlfn.XLOOKUP(C179,'Place Profiles'!A:A,'Place Profiles'!C:C,"0")</f>
        <v>10.7914436839782</v>
      </c>
      <c r="F179" t="str">
        <v>Gonzaga, Maria</v>
      </c>
      <c r="G179" t="str">
        <v>di Lorena, Cristina</v>
      </c>
      <c r="H179" t="str" cm="1">
        <f t="array" ref="H179">_xlfn.LET(
_xlpm.t,$G179,
_xlpm.cands,_xlfn._xlws.FILTER('Place Profiles'!$G$2:$G$929,'Place Profiles'!$G$2:$G$929&lt;&gt;""),
_xlpm.counts,COUNTIFS('Raw Data'!$G$2:$G$501,_xlpm.t,'Raw Data'!$F$2:$F$501,_xlpm.cands),
_xlpm.mx,MAX(_xlpm.counts),
IF(_xlpm.mx=0,0,_xlfn.TEXTJOIN(" / ",TRUE,_xlfn._xlws.FILTER(_xlpm.cands,_xlpm.counts=_xlpm.mx)))
)</f>
        <v>Firenze/Fiorenza</v>
      </c>
      <c r="I179">
        <f>_xlfn.XLOOKUP(H179,'Place Profiles'!A:A,'Place Profiles'!B:B,"0")</f>
        <v>43.773821664204803</v>
      </c>
      <c r="J179">
        <f>_xlfn.XLOOKUP(H179,'Place Profiles'!A:A,'Place Profiles'!C:C,"0")</f>
        <v>11.2555362617661</v>
      </c>
    </row>
    <row r="180" spans="1:10" x14ac:dyDescent="0.45">
      <c r="A180" t="str">
        <v>ID_00179</v>
      </c>
      <c r="B180" t="str">
        <v>1628/12/24</v>
      </c>
      <c r="C180" t="str">
        <v>Mantova</v>
      </c>
      <c r="D180" s="10">
        <f>_xlfn.XLOOKUP(C180,'Place Profiles'!A:A,'Place Profiles'!B:B,"0")</f>
        <v>45.156437254514501</v>
      </c>
      <c r="E180" s="10">
        <f>_xlfn.XLOOKUP(C180,'Place Profiles'!A:A,'Place Profiles'!C:C,"0")</f>
        <v>10.7914436839782</v>
      </c>
      <c r="F180" t="str">
        <v>Gonzaga, Carlo (Charles I)</v>
      </c>
      <c r="G180" t="str">
        <v>von Habsburg, Maria Magdalena</v>
      </c>
      <c r="H180" t="str" cm="1">
        <f t="array" ref="H180">_xlfn.LET(
_xlpm.t,$G180,
_xlpm.cands,_xlfn._xlws.FILTER('Place Profiles'!$G$2:$G$929,'Place Profiles'!$G$2:$G$929&lt;&gt;""),
_xlpm.counts,COUNTIFS('Raw Data'!$G$2:$G$501,_xlpm.t,'Raw Data'!$F$2:$F$501,_xlpm.cands),
_xlpm.mx,MAX(_xlpm.counts),
IF(_xlpm.mx=0,0,_xlfn.TEXTJOIN(" / ",TRUE,_xlfn._xlws.FILTER(_xlpm.cands,_xlpm.counts=_xlpm.mx)))
)</f>
        <v>Firenze/Fiorenza</v>
      </c>
      <c r="I180">
        <f>_xlfn.XLOOKUP(H180,'Place Profiles'!A:A,'Place Profiles'!B:B,"0")</f>
        <v>43.773821664204803</v>
      </c>
      <c r="J180">
        <f>_xlfn.XLOOKUP(H180,'Place Profiles'!A:A,'Place Profiles'!C:C,"0")</f>
        <v>11.2555362617661</v>
      </c>
    </row>
    <row r="181" spans="1:10" x14ac:dyDescent="0.45">
      <c r="A181" t="str">
        <v>ID_00180</v>
      </c>
      <c r="B181" t="str">
        <v>1629/05/02</v>
      </c>
      <c r="C181" t="str">
        <v>Mantova</v>
      </c>
      <c r="D181" s="10">
        <f>_xlfn.XLOOKUP(C181,'Place Profiles'!A:A,'Place Profiles'!B:B,"0")</f>
        <v>45.156437254514501</v>
      </c>
      <c r="E181" s="10">
        <f>_xlfn.XLOOKUP(C181,'Place Profiles'!A:A,'Place Profiles'!C:C,"0")</f>
        <v>10.7914436839782</v>
      </c>
      <c r="F181" t="str">
        <v>Gonzaga, Carlo (Charles I)</v>
      </c>
      <c r="G181" t="str">
        <v>di Lorena, Cristina</v>
      </c>
      <c r="H181" t="str" cm="1">
        <f t="array" ref="H181">_xlfn.LET(
_xlpm.t,$G181,
_xlpm.cands,_xlfn._xlws.FILTER('Place Profiles'!$G$2:$G$929,'Place Profiles'!$G$2:$G$929&lt;&gt;""),
_xlpm.counts,COUNTIFS('Raw Data'!$G$2:$G$501,_xlpm.t,'Raw Data'!$F$2:$F$501,_xlpm.cands),
_xlpm.mx,MAX(_xlpm.counts),
IF(_xlpm.mx=0,0,_xlfn.TEXTJOIN(" / ",TRUE,_xlfn._xlws.FILTER(_xlpm.cands,_xlpm.counts=_xlpm.mx)))
)</f>
        <v>Firenze/Fiorenza</v>
      </c>
      <c r="I181">
        <f>_xlfn.XLOOKUP(H181,'Place Profiles'!A:A,'Place Profiles'!B:B,"0")</f>
        <v>43.773821664204803</v>
      </c>
      <c r="J181">
        <f>_xlfn.XLOOKUP(H181,'Place Profiles'!A:A,'Place Profiles'!C:C,"0")</f>
        <v>11.2555362617661</v>
      </c>
    </row>
    <row r="182" spans="1:10" x14ac:dyDescent="0.45">
      <c r="A182" t="str">
        <v>ID_00181</v>
      </c>
      <c r="B182" t="str">
        <v>1629/05/04</v>
      </c>
      <c r="C182" t="str">
        <v>Mantova</v>
      </c>
      <c r="D182" s="10">
        <f>_xlfn.XLOOKUP(C182,'Place Profiles'!A:A,'Place Profiles'!B:B,"0")</f>
        <v>45.156437254514501</v>
      </c>
      <c r="E182" s="10">
        <f>_xlfn.XLOOKUP(C182,'Place Profiles'!A:A,'Place Profiles'!C:C,"0")</f>
        <v>10.7914436839782</v>
      </c>
      <c r="F182" t="str">
        <v>Albicini, Christoforo</v>
      </c>
      <c r="G182" t="str">
        <v>Unknown</v>
      </c>
      <c r="H182" t="str" cm="1">
        <f t="array" ref="H182">_xlfn.LET(
_xlpm.t,$G182,
_xlpm.cands,_xlfn._xlws.FILTER('Place Profiles'!$G$2:$G$929,'Place Profiles'!$G$2:$G$929&lt;&gt;""),
_xlpm.counts,COUNTIFS('Raw Data'!$G$2:$G$501,_xlpm.t,'Raw Data'!$F$2:$F$501,_xlpm.cands),
_xlpm.mx,MAX(_xlpm.counts),
IF(_xlpm.mx=0,0,_xlfn.TEXTJOIN(" / ",TRUE,_xlfn._xlws.FILTER(_xlpm.cands,_xlpm.counts=_xlpm.mx)))
)</f>
        <v>Unknown</v>
      </c>
      <c r="I182">
        <f>_xlfn.XLOOKUP(H182,'Place Profiles'!A:A,'Place Profiles'!B:B,"0")</f>
        <v>0</v>
      </c>
      <c r="J182">
        <f>_xlfn.XLOOKUP(H182,'Place Profiles'!A:A,'Place Profiles'!C:C,"0")</f>
        <v>0</v>
      </c>
    </row>
    <row r="183" spans="1:10" x14ac:dyDescent="0.45">
      <c r="A183" t="str">
        <v>ID_00182</v>
      </c>
      <c r="B183" t="str">
        <v>1629/05/05</v>
      </c>
      <c r="C183" t="str">
        <v>Susa</v>
      </c>
      <c r="D183" s="10">
        <f>_xlfn.XLOOKUP(C183,'Place Profiles'!A:A,'Place Profiles'!B:B,"0")</f>
        <v>45.1385552070453</v>
      </c>
      <c r="E183" s="10">
        <f>_xlfn.XLOOKUP(C183,'Place Profiles'!A:A,'Place Profiles'!C:C,"0")</f>
        <v>7.0482742766748903</v>
      </c>
      <c r="F183" t="str">
        <v>Guiscardi, Traiano</v>
      </c>
      <c r="G183" t="str">
        <v>di Lorena, Cristina</v>
      </c>
      <c r="H183" t="str" cm="1">
        <f t="array" ref="H183">_xlfn.LET(
_xlpm.t,$G183,
_xlpm.cands,_xlfn._xlws.FILTER('Place Profiles'!$G$2:$G$929,'Place Profiles'!$G$2:$G$929&lt;&gt;""),
_xlpm.counts,COUNTIFS('Raw Data'!$G$2:$G$501,_xlpm.t,'Raw Data'!$F$2:$F$501,_xlpm.cands),
_xlpm.mx,MAX(_xlpm.counts),
IF(_xlpm.mx=0,0,_xlfn.TEXTJOIN(" / ",TRUE,_xlfn._xlws.FILTER(_xlpm.cands,_xlpm.counts=_xlpm.mx)))
)</f>
        <v>Firenze/Fiorenza</v>
      </c>
      <c r="I183">
        <f>_xlfn.XLOOKUP(H183,'Place Profiles'!A:A,'Place Profiles'!B:B,"0")</f>
        <v>43.773821664204803</v>
      </c>
      <c r="J183">
        <f>_xlfn.XLOOKUP(H183,'Place Profiles'!A:A,'Place Profiles'!C:C,"0")</f>
        <v>11.2555362617661</v>
      </c>
    </row>
    <row r="184" spans="1:10" x14ac:dyDescent="0.45">
      <c r="A184" t="str">
        <v>ID_00183</v>
      </c>
      <c r="B184" t="str">
        <v>1629/06/16</v>
      </c>
      <c r="C184" t="str">
        <v>Mantova</v>
      </c>
      <c r="D184" s="10">
        <f>_xlfn.XLOOKUP(C184,'Place Profiles'!A:A,'Place Profiles'!B:B,"0")</f>
        <v>45.156437254514501</v>
      </c>
      <c r="E184" s="10">
        <f>_xlfn.XLOOKUP(C184,'Place Profiles'!A:A,'Place Profiles'!C:C,"0")</f>
        <v>10.7914436839782</v>
      </c>
      <c r="F184" t="str">
        <v>Gonzaga, Carlo (Charles II)</v>
      </c>
      <c r="G184" t="str">
        <v>de' Medici, Ferdinando II</v>
      </c>
      <c r="H184" cm="1">
        <f t="array" ref="H184">_xlfn.LET(
_xlpm.t,$G184,
_xlpm.cands,_xlfn._xlws.FILTER('Place Profiles'!$G$2:$G$929,'Place Profiles'!$G$2:$G$929&lt;&gt;""),
_xlpm.counts,COUNTIFS('Raw Data'!$G$2:$G$501,_xlpm.t,'Raw Data'!$F$2:$F$501,_xlpm.cands),
_xlpm.mx,MAX(_xlpm.counts),
IF(_xlpm.mx=0,0,_xlfn.TEXTJOIN(" / ",TRUE,_xlfn._xlws.FILTER(_xlpm.cands,_xlpm.counts=_xlpm.mx)))
)</f>
        <v>0</v>
      </c>
      <c r="I184" t="str">
        <f>_xlfn.XLOOKUP(H184,'Place Profiles'!A:A,'Place Profiles'!B:B,"0")</f>
        <v>0</v>
      </c>
      <c r="J184" t="str">
        <f>_xlfn.XLOOKUP(H184,'Place Profiles'!A:A,'Place Profiles'!C:C,"0")</f>
        <v>0</v>
      </c>
    </row>
    <row r="185" spans="1:10" x14ac:dyDescent="0.45">
      <c r="A185" t="str">
        <v>ID_00184</v>
      </c>
      <c r="B185" t="str">
        <v>1629/06/17</v>
      </c>
      <c r="C185" t="str">
        <v>Mantova</v>
      </c>
      <c r="D185" s="10">
        <f>_xlfn.XLOOKUP(C185,'Place Profiles'!A:A,'Place Profiles'!B:B,"0")</f>
        <v>45.156437254514501</v>
      </c>
      <c r="E185" s="10">
        <f>_xlfn.XLOOKUP(C185,'Place Profiles'!A:A,'Place Profiles'!C:C,"0")</f>
        <v>10.7914436839782</v>
      </c>
      <c r="F185" t="str">
        <v>Gonzaga, Carlo (Charles I)</v>
      </c>
      <c r="G185" t="str">
        <v>de' Medici, Ferdinando II</v>
      </c>
      <c r="H185" cm="1">
        <f t="array" ref="H185">_xlfn.LET(
_xlpm.t,$G185,
_xlpm.cands,_xlfn._xlws.FILTER('Place Profiles'!$G$2:$G$929,'Place Profiles'!$G$2:$G$929&lt;&gt;""),
_xlpm.counts,COUNTIFS('Raw Data'!$G$2:$G$501,_xlpm.t,'Raw Data'!$F$2:$F$501,_xlpm.cands),
_xlpm.mx,MAX(_xlpm.counts),
IF(_xlpm.mx=0,0,_xlfn.TEXTJOIN(" / ",TRUE,_xlfn._xlws.FILTER(_xlpm.cands,_xlpm.counts=_xlpm.mx)))
)</f>
        <v>0</v>
      </c>
      <c r="I185" t="str">
        <f>_xlfn.XLOOKUP(H185,'Place Profiles'!A:A,'Place Profiles'!B:B,"0")</f>
        <v>0</v>
      </c>
      <c r="J185" t="str">
        <f>_xlfn.XLOOKUP(H185,'Place Profiles'!A:A,'Place Profiles'!C:C,"0")</f>
        <v>0</v>
      </c>
    </row>
    <row r="186" spans="1:10" x14ac:dyDescent="0.45">
      <c r="A186" t="str">
        <v>ID_00185</v>
      </c>
      <c r="B186" t="str">
        <v>1628/01/21</v>
      </c>
      <c r="C186" t="str">
        <v>Mantova</v>
      </c>
      <c r="D186" s="10">
        <f>_xlfn.XLOOKUP(C186,'Place Profiles'!A:A,'Place Profiles'!B:B,"0")</f>
        <v>45.156437254514501</v>
      </c>
      <c r="E186" s="10">
        <f>_xlfn.XLOOKUP(C186,'Place Profiles'!A:A,'Place Profiles'!C:C,"0")</f>
        <v>10.7914436839782</v>
      </c>
      <c r="F186" t="str">
        <v>Gonzaga, Carlo (Charles I)</v>
      </c>
      <c r="G186" t="str">
        <v>von Habsburg, Maria Magdalena</v>
      </c>
      <c r="H186" t="str" cm="1">
        <f t="array" ref="H186">_xlfn.LET(
_xlpm.t,$G186,
_xlpm.cands,_xlfn._xlws.FILTER('Place Profiles'!$G$2:$G$929,'Place Profiles'!$G$2:$G$929&lt;&gt;""),
_xlpm.counts,COUNTIFS('Raw Data'!$G$2:$G$501,_xlpm.t,'Raw Data'!$F$2:$F$501,_xlpm.cands),
_xlpm.mx,MAX(_xlpm.counts),
IF(_xlpm.mx=0,0,_xlfn.TEXTJOIN(" / ",TRUE,_xlfn._xlws.FILTER(_xlpm.cands,_xlpm.counts=_xlpm.mx)))
)</f>
        <v>Firenze/Fiorenza</v>
      </c>
      <c r="I186">
        <f>_xlfn.XLOOKUP(H186,'Place Profiles'!A:A,'Place Profiles'!B:B,"0")</f>
        <v>43.773821664204803</v>
      </c>
      <c r="J186">
        <f>_xlfn.XLOOKUP(H186,'Place Profiles'!A:A,'Place Profiles'!C:C,"0")</f>
        <v>11.2555362617661</v>
      </c>
    </row>
    <row r="187" spans="1:10" x14ac:dyDescent="0.45">
      <c r="A187" t="str">
        <v>ID_00186</v>
      </c>
      <c r="B187" t="str">
        <v>1629/07/25</v>
      </c>
      <c r="C187" t="str">
        <v>Mantova</v>
      </c>
      <c r="D187" s="10">
        <f>_xlfn.XLOOKUP(C187,'Place Profiles'!A:A,'Place Profiles'!B:B,"0")</f>
        <v>45.156437254514501</v>
      </c>
      <c r="E187" s="10">
        <f>_xlfn.XLOOKUP(C187,'Place Profiles'!A:A,'Place Profiles'!C:C,"0")</f>
        <v>10.7914436839782</v>
      </c>
      <c r="F187" t="str">
        <v>Agnello, Giulio</v>
      </c>
      <c r="G187" t="str">
        <v>Unknown</v>
      </c>
      <c r="H187" t="str" cm="1">
        <f t="array" ref="H187">_xlfn.LET(
_xlpm.t,$G187,
_xlpm.cands,_xlfn._xlws.FILTER('Place Profiles'!$G$2:$G$929,'Place Profiles'!$G$2:$G$929&lt;&gt;""),
_xlpm.counts,COUNTIFS('Raw Data'!$G$2:$G$501,_xlpm.t,'Raw Data'!$F$2:$F$501,_xlpm.cands),
_xlpm.mx,MAX(_xlpm.counts),
IF(_xlpm.mx=0,0,_xlfn.TEXTJOIN(" / ",TRUE,_xlfn._xlws.FILTER(_xlpm.cands,_xlpm.counts=_xlpm.mx)))
)</f>
        <v>Unknown</v>
      </c>
      <c r="I187">
        <f>_xlfn.XLOOKUP(H187,'Place Profiles'!A:A,'Place Profiles'!B:B,"0")</f>
        <v>0</v>
      </c>
      <c r="J187">
        <f>_xlfn.XLOOKUP(H187,'Place Profiles'!A:A,'Place Profiles'!C:C,"0")</f>
        <v>0</v>
      </c>
    </row>
    <row r="188" spans="1:10" x14ac:dyDescent="0.45">
      <c r="A188" t="str">
        <v>ID_00187</v>
      </c>
      <c r="B188" t="str">
        <v>1629/07/25</v>
      </c>
      <c r="C188" t="str">
        <v>Mantova</v>
      </c>
      <c r="D188" s="10">
        <f>_xlfn.XLOOKUP(C188,'Place Profiles'!A:A,'Place Profiles'!B:B,"0")</f>
        <v>45.156437254514501</v>
      </c>
      <c r="E188" s="10">
        <f>_xlfn.XLOOKUP(C188,'Place Profiles'!A:A,'Place Profiles'!C:C,"0")</f>
        <v>10.7914436839782</v>
      </c>
      <c r="F188" t="str">
        <v>Agnello, Giulio</v>
      </c>
      <c r="G188" t="str">
        <v>de' Medici, Ferdinando II</v>
      </c>
      <c r="H188" cm="1">
        <f t="array" ref="H188">_xlfn.LET(
_xlpm.t,$G188,
_xlpm.cands,_xlfn._xlws.FILTER('Place Profiles'!$G$2:$G$929,'Place Profiles'!$G$2:$G$929&lt;&gt;""),
_xlpm.counts,COUNTIFS('Raw Data'!$G$2:$G$501,_xlpm.t,'Raw Data'!$F$2:$F$501,_xlpm.cands),
_xlpm.mx,MAX(_xlpm.counts),
IF(_xlpm.mx=0,0,_xlfn.TEXTJOIN(" / ",TRUE,_xlfn._xlws.FILTER(_xlpm.cands,_xlpm.counts=_xlpm.mx)))
)</f>
        <v>0</v>
      </c>
      <c r="I188" t="str">
        <f>_xlfn.XLOOKUP(H188,'Place Profiles'!A:A,'Place Profiles'!B:B,"0")</f>
        <v>0</v>
      </c>
      <c r="J188" t="str">
        <f>_xlfn.XLOOKUP(H188,'Place Profiles'!A:A,'Place Profiles'!C:C,"0")</f>
        <v>0</v>
      </c>
    </row>
    <row r="189" spans="1:10" x14ac:dyDescent="0.45">
      <c r="A189" t="str">
        <v>ID_00188</v>
      </c>
      <c r="B189" t="str">
        <v>1629/09/19</v>
      </c>
      <c r="C189" t="str">
        <v>Mantova</v>
      </c>
      <c r="D189" s="10">
        <f>_xlfn.XLOOKUP(C189,'Place Profiles'!A:A,'Place Profiles'!B:B,"0")</f>
        <v>45.156437254514501</v>
      </c>
      <c r="E189" s="10">
        <f>_xlfn.XLOOKUP(C189,'Place Profiles'!A:A,'Place Profiles'!C:C,"0")</f>
        <v>10.7914436839782</v>
      </c>
      <c r="F189" t="str">
        <v>Gonzaga, Carlo (Charles I)</v>
      </c>
      <c r="G189" t="str">
        <v>de' Medici, Ferdinando II</v>
      </c>
      <c r="H189" cm="1">
        <f t="array" ref="H189">_xlfn.LET(
_xlpm.t,$G189,
_xlpm.cands,_xlfn._xlws.FILTER('Place Profiles'!$G$2:$G$929,'Place Profiles'!$G$2:$G$929&lt;&gt;""),
_xlpm.counts,COUNTIFS('Raw Data'!$G$2:$G$501,_xlpm.t,'Raw Data'!$F$2:$F$501,_xlpm.cands),
_xlpm.mx,MAX(_xlpm.counts),
IF(_xlpm.mx=0,0,_xlfn.TEXTJOIN(" / ",TRUE,_xlfn._xlws.FILTER(_xlpm.cands,_xlpm.counts=_xlpm.mx)))
)</f>
        <v>0</v>
      </c>
      <c r="I189" t="str">
        <f>_xlfn.XLOOKUP(H189,'Place Profiles'!A:A,'Place Profiles'!B:B,"0")</f>
        <v>0</v>
      </c>
      <c r="J189" t="str">
        <f>_xlfn.XLOOKUP(H189,'Place Profiles'!A:A,'Place Profiles'!C:C,"0")</f>
        <v>0</v>
      </c>
    </row>
    <row r="190" spans="1:10" x14ac:dyDescent="0.45">
      <c r="A190" t="str">
        <v>ID_00189</v>
      </c>
      <c r="B190" t="str">
        <v>1629/09/22</v>
      </c>
      <c r="C190" t="str">
        <v>Mantova</v>
      </c>
      <c r="D190" s="10">
        <f>_xlfn.XLOOKUP(C190,'Place Profiles'!A:A,'Place Profiles'!B:B,"0")</f>
        <v>45.156437254514501</v>
      </c>
      <c r="E190" s="10">
        <f>_xlfn.XLOOKUP(C190,'Place Profiles'!A:A,'Place Profiles'!C:C,"0")</f>
        <v>10.7914436839782</v>
      </c>
      <c r="F190" t="str">
        <v>Gonzaga, Carlo (Charles II)</v>
      </c>
      <c r="G190" t="str">
        <v>de' Medici, Ferdinando II</v>
      </c>
      <c r="H190" cm="1">
        <f t="array" ref="H190">_xlfn.LET(
_xlpm.t,$G190,
_xlpm.cands,_xlfn._xlws.FILTER('Place Profiles'!$G$2:$G$929,'Place Profiles'!$G$2:$G$929&lt;&gt;""),
_xlpm.counts,COUNTIFS('Raw Data'!$G$2:$G$501,_xlpm.t,'Raw Data'!$F$2:$F$501,_xlpm.cands),
_xlpm.mx,MAX(_xlpm.counts),
IF(_xlpm.mx=0,0,_xlfn.TEXTJOIN(" / ",TRUE,_xlfn._xlws.FILTER(_xlpm.cands,_xlpm.counts=_xlpm.mx)))
)</f>
        <v>0</v>
      </c>
      <c r="I190" t="str">
        <f>_xlfn.XLOOKUP(H190,'Place Profiles'!A:A,'Place Profiles'!B:B,"0")</f>
        <v>0</v>
      </c>
      <c r="J190" t="str">
        <f>_xlfn.XLOOKUP(H190,'Place Profiles'!A:A,'Place Profiles'!C:C,"0")</f>
        <v>0</v>
      </c>
    </row>
    <row r="191" spans="1:10" x14ac:dyDescent="0.45">
      <c r="A191" t="str">
        <v>ID_00190</v>
      </c>
      <c r="B191" t="str">
        <v>1629/09/26</v>
      </c>
      <c r="C191" t="str">
        <v>Mantova</v>
      </c>
      <c r="D191" s="10">
        <f>_xlfn.XLOOKUP(C191,'Place Profiles'!A:A,'Place Profiles'!B:B,"0")</f>
        <v>45.156437254514501</v>
      </c>
      <c r="E191" s="10">
        <f>_xlfn.XLOOKUP(C191,'Place Profiles'!A:A,'Place Profiles'!C:C,"0")</f>
        <v>10.7914436839782</v>
      </c>
      <c r="F191" t="str">
        <v>Gonzaga, Carlo (Charles I)</v>
      </c>
      <c r="G191" t="str">
        <v>de' Medici, Ferdinando II</v>
      </c>
      <c r="H191" cm="1">
        <f t="array" ref="H191">_xlfn.LET(
_xlpm.t,$G191,
_xlpm.cands,_xlfn._xlws.FILTER('Place Profiles'!$G$2:$G$929,'Place Profiles'!$G$2:$G$929&lt;&gt;""),
_xlpm.counts,COUNTIFS('Raw Data'!$G$2:$G$501,_xlpm.t,'Raw Data'!$F$2:$F$501,_xlpm.cands),
_xlpm.mx,MAX(_xlpm.counts),
IF(_xlpm.mx=0,0,_xlfn.TEXTJOIN(" / ",TRUE,_xlfn._xlws.FILTER(_xlpm.cands,_xlpm.counts=_xlpm.mx)))
)</f>
        <v>0</v>
      </c>
      <c r="I191" t="str">
        <f>_xlfn.XLOOKUP(H191,'Place Profiles'!A:A,'Place Profiles'!B:B,"0")</f>
        <v>0</v>
      </c>
      <c r="J191" t="str">
        <f>_xlfn.XLOOKUP(H191,'Place Profiles'!A:A,'Place Profiles'!C:C,"0")</f>
        <v>0</v>
      </c>
    </row>
    <row r="192" spans="1:10" x14ac:dyDescent="0.45">
      <c r="A192" t="str">
        <v>ID_00191</v>
      </c>
      <c r="B192" t="str">
        <v>1629/09/27</v>
      </c>
      <c r="C192" t="str">
        <v>Mantova</v>
      </c>
      <c r="D192" s="10">
        <f>_xlfn.XLOOKUP(C192,'Place Profiles'!A:A,'Place Profiles'!B:B,"0")</f>
        <v>45.156437254514501</v>
      </c>
      <c r="E192" s="10">
        <f>_xlfn.XLOOKUP(C192,'Place Profiles'!A:A,'Place Profiles'!C:C,"0")</f>
        <v>10.7914436839782</v>
      </c>
      <c r="F192" t="str">
        <v>Gonzaga, Camillo</v>
      </c>
      <c r="G192" t="str">
        <v>de' Medici, Ferdinando II</v>
      </c>
      <c r="H192" cm="1">
        <f t="array" ref="H192">_xlfn.LET(
_xlpm.t,$G192,
_xlpm.cands,_xlfn._xlws.FILTER('Place Profiles'!$G$2:$G$929,'Place Profiles'!$G$2:$G$929&lt;&gt;""),
_xlpm.counts,COUNTIFS('Raw Data'!$G$2:$G$501,_xlpm.t,'Raw Data'!$F$2:$F$501,_xlpm.cands),
_xlpm.mx,MAX(_xlpm.counts),
IF(_xlpm.mx=0,0,_xlfn.TEXTJOIN(" / ",TRUE,_xlfn._xlws.FILTER(_xlpm.cands,_xlpm.counts=_xlpm.mx)))
)</f>
        <v>0</v>
      </c>
      <c r="I192" t="str">
        <f>_xlfn.XLOOKUP(H192,'Place Profiles'!A:A,'Place Profiles'!B:B,"0")</f>
        <v>0</v>
      </c>
      <c r="J192" t="str">
        <f>_xlfn.XLOOKUP(H192,'Place Profiles'!A:A,'Place Profiles'!C:C,"0")</f>
        <v>0</v>
      </c>
    </row>
    <row r="193" spans="1:10" x14ac:dyDescent="0.45">
      <c r="A193" t="str">
        <v>ID_00192</v>
      </c>
      <c r="B193" t="str">
        <v>1629/11/10</v>
      </c>
      <c r="C193" t="str">
        <v>Mantova</v>
      </c>
      <c r="D193" s="10">
        <f>_xlfn.XLOOKUP(C193,'Place Profiles'!A:A,'Place Profiles'!B:B,"0")</f>
        <v>45.156437254514501</v>
      </c>
      <c r="E193" s="10">
        <f>_xlfn.XLOOKUP(C193,'Place Profiles'!A:A,'Place Profiles'!C:C,"0")</f>
        <v>10.7914436839782</v>
      </c>
      <c r="F193" t="str">
        <v>Cavniami, Massimo</v>
      </c>
      <c r="G193" t="str">
        <v>de' Medici, Ferdinando II</v>
      </c>
      <c r="H193" cm="1">
        <f t="array" ref="H193">_xlfn.LET(
_xlpm.t,$G193,
_xlpm.cands,_xlfn._xlws.FILTER('Place Profiles'!$G$2:$G$929,'Place Profiles'!$G$2:$G$929&lt;&gt;""),
_xlpm.counts,COUNTIFS('Raw Data'!$G$2:$G$501,_xlpm.t,'Raw Data'!$F$2:$F$501,_xlpm.cands),
_xlpm.mx,MAX(_xlpm.counts),
IF(_xlpm.mx=0,0,_xlfn.TEXTJOIN(" / ",TRUE,_xlfn._xlws.FILTER(_xlpm.cands,_xlpm.counts=_xlpm.mx)))
)</f>
        <v>0</v>
      </c>
      <c r="I193" t="str">
        <f>_xlfn.XLOOKUP(H193,'Place Profiles'!A:A,'Place Profiles'!B:B,"0")</f>
        <v>0</v>
      </c>
      <c r="J193" t="str">
        <f>_xlfn.XLOOKUP(H193,'Place Profiles'!A:A,'Place Profiles'!C:C,"0")</f>
        <v>0</v>
      </c>
    </row>
    <row r="194" spans="1:10" x14ac:dyDescent="0.45">
      <c r="A194" t="str">
        <v>ID_00193</v>
      </c>
      <c r="B194" t="str">
        <v>1629/12/22</v>
      </c>
      <c r="C194" t="str">
        <v>Mantova</v>
      </c>
      <c r="D194" s="10">
        <f>_xlfn.XLOOKUP(C194,'Place Profiles'!A:A,'Place Profiles'!B:B,"0")</f>
        <v>45.156437254514501</v>
      </c>
      <c r="E194" s="10">
        <f>_xlfn.XLOOKUP(C194,'Place Profiles'!A:A,'Place Profiles'!C:C,"0")</f>
        <v>10.7914436839782</v>
      </c>
      <c r="F194" t="str">
        <v>Illegible</v>
      </c>
      <c r="G194" t="str">
        <v>de' Medici, Ferdinando II</v>
      </c>
      <c r="H194" cm="1">
        <f t="array" ref="H194">_xlfn.LET(
_xlpm.t,$G194,
_xlpm.cands,_xlfn._xlws.FILTER('Place Profiles'!$G$2:$G$929,'Place Profiles'!$G$2:$G$929&lt;&gt;""),
_xlpm.counts,COUNTIFS('Raw Data'!$G$2:$G$501,_xlpm.t,'Raw Data'!$F$2:$F$501,_xlpm.cands),
_xlpm.mx,MAX(_xlpm.counts),
IF(_xlpm.mx=0,0,_xlfn.TEXTJOIN(" / ",TRUE,_xlfn._xlws.FILTER(_xlpm.cands,_xlpm.counts=_xlpm.mx)))
)</f>
        <v>0</v>
      </c>
      <c r="I194" t="str">
        <f>_xlfn.XLOOKUP(H194,'Place Profiles'!A:A,'Place Profiles'!B:B,"0")</f>
        <v>0</v>
      </c>
      <c r="J194" t="str">
        <f>_xlfn.XLOOKUP(H194,'Place Profiles'!A:A,'Place Profiles'!C:C,"0")</f>
        <v>0</v>
      </c>
    </row>
    <row r="195" spans="1:10" x14ac:dyDescent="0.45">
      <c r="A195" t="str">
        <v>ID_00194</v>
      </c>
      <c r="B195" t="str">
        <v>1629/12/25</v>
      </c>
      <c r="C195" t="str">
        <v>Mantova</v>
      </c>
      <c r="D195" s="10">
        <f>_xlfn.XLOOKUP(C195,'Place Profiles'!A:A,'Place Profiles'!B:B,"0")</f>
        <v>45.156437254514501</v>
      </c>
      <c r="E195" s="10">
        <f>_xlfn.XLOOKUP(C195,'Place Profiles'!A:A,'Place Profiles'!C:C,"0")</f>
        <v>10.7914436839782</v>
      </c>
      <c r="F195" t="str">
        <v>Nerli, Francesco</v>
      </c>
      <c r="G195" t="str">
        <v>de' Medici, Ferdinando II</v>
      </c>
      <c r="H195" cm="1">
        <f t="array" ref="H195">_xlfn.LET(
_xlpm.t,$G195,
_xlpm.cands,_xlfn._xlws.FILTER('Place Profiles'!$G$2:$G$929,'Place Profiles'!$G$2:$G$929&lt;&gt;""),
_xlpm.counts,COUNTIFS('Raw Data'!$G$2:$G$501,_xlpm.t,'Raw Data'!$F$2:$F$501,_xlpm.cands),
_xlpm.mx,MAX(_xlpm.counts),
IF(_xlpm.mx=0,0,_xlfn.TEXTJOIN(" / ",TRUE,_xlfn._xlws.FILTER(_xlpm.cands,_xlpm.counts=_xlpm.mx)))
)</f>
        <v>0</v>
      </c>
      <c r="I195" t="str">
        <f>_xlfn.XLOOKUP(H195,'Place Profiles'!A:A,'Place Profiles'!B:B,"0")</f>
        <v>0</v>
      </c>
      <c r="J195" t="str">
        <f>_xlfn.XLOOKUP(H195,'Place Profiles'!A:A,'Place Profiles'!C:C,"0")</f>
        <v>0</v>
      </c>
    </row>
    <row r="196" spans="1:10" x14ac:dyDescent="0.45">
      <c r="A196" t="str">
        <v>ID_00195</v>
      </c>
      <c r="B196" t="str">
        <v>1628/01/21</v>
      </c>
      <c r="C196" t="str">
        <v>Mantova</v>
      </c>
      <c r="D196" s="10">
        <f>_xlfn.XLOOKUP(C196,'Place Profiles'!A:A,'Place Profiles'!B:B,"0")</f>
        <v>45.156437254514501</v>
      </c>
      <c r="E196" s="10">
        <f>_xlfn.XLOOKUP(C196,'Place Profiles'!A:A,'Place Profiles'!C:C,"0")</f>
        <v>10.7914436839782</v>
      </c>
      <c r="F196" t="str">
        <v>Gonzaga, Carlo (Charles I)</v>
      </c>
      <c r="G196" t="str">
        <v>de' Medici, Ferdinando II</v>
      </c>
      <c r="H196" cm="1">
        <f t="array" ref="H196">_xlfn.LET(
_xlpm.t,$G196,
_xlpm.cands,_xlfn._xlws.FILTER('Place Profiles'!$G$2:$G$929,'Place Profiles'!$G$2:$G$929&lt;&gt;""),
_xlpm.counts,COUNTIFS('Raw Data'!$G$2:$G$501,_xlpm.t,'Raw Data'!$F$2:$F$501,_xlpm.cands),
_xlpm.mx,MAX(_xlpm.counts),
IF(_xlpm.mx=0,0,_xlfn.TEXTJOIN(" / ",TRUE,_xlfn._xlws.FILTER(_xlpm.cands,_xlpm.counts=_xlpm.mx)))
)</f>
        <v>0</v>
      </c>
      <c r="I196" t="str">
        <f>_xlfn.XLOOKUP(H196,'Place Profiles'!A:A,'Place Profiles'!B:B,"0")</f>
        <v>0</v>
      </c>
      <c r="J196" t="str">
        <f>_xlfn.XLOOKUP(H196,'Place Profiles'!A:A,'Place Profiles'!C:C,"0")</f>
        <v>0</v>
      </c>
    </row>
    <row r="197" spans="1:10" x14ac:dyDescent="0.45">
      <c r="A197" t="str">
        <v>ID_00196</v>
      </c>
      <c r="B197" t="str">
        <v>1629/12/28</v>
      </c>
      <c r="C197" t="str">
        <v>Mantova</v>
      </c>
      <c r="D197" s="10">
        <f>_xlfn.XLOOKUP(C197,'Place Profiles'!A:A,'Place Profiles'!B:B,"0")</f>
        <v>45.156437254514501</v>
      </c>
      <c r="E197" s="10">
        <f>_xlfn.XLOOKUP(C197,'Place Profiles'!A:A,'Place Profiles'!C:C,"0")</f>
        <v>10.7914436839782</v>
      </c>
      <c r="F197" t="str">
        <v>Gonzaga, Lud.co Francesco</v>
      </c>
      <c r="G197" t="str">
        <v>de' Medici, Ferdinando II</v>
      </c>
      <c r="H197" cm="1">
        <f t="array" ref="H197">_xlfn.LET(
_xlpm.t,$G197,
_xlpm.cands,_xlfn._xlws.FILTER('Place Profiles'!$G$2:$G$929,'Place Profiles'!$G$2:$G$929&lt;&gt;""),
_xlpm.counts,COUNTIFS('Raw Data'!$G$2:$G$501,_xlpm.t,'Raw Data'!$F$2:$F$501,_xlpm.cands),
_xlpm.mx,MAX(_xlpm.counts),
IF(_xlpm.mx=0,0,_xlfn.TEXTJOIN(" / ",TRUE,_xlfn._xlws.FILTER(_xlpm.cands,_xlpm.counts=_xlpm.mx)))
)</f>
        <v>0</v>
      </c>
      <c r="I197" t="str">
        <f>_xlfn.XLOOKUP(H197,'Place Profiles'!A:A,'Place Profiles'!B:B,"0")</f>
        <v>0</v>
      </c>
      <c r="J197" t="str">
        <f>_xlfn.XLOOKUP(H197,'Place Profiles'!A:A,'Place Profiles'!C:C,"0")</f>
        <v>0</v>
      </c>
    </row>
    <row r="198" spans="1:10" x14ac:dyDescent="0.45">
      <c r="A198" t="str">
        <v>ID_00197</v>
      </c>
      <c r="B198" t="str">
        <v>1630/02/00</v>
      </c>
      <c r="C198" t="str">
        <v>Mantova</v>
      </c>
      <c r="D198" s="10">
        <f>_xlfn.XLOOKUP(C198,'Place Profiles'!A:A,'Place Profiles'!B:B,"0")</f>
        <v>45.156437254514501</v>
      </c>
      <c r="E198" s="10">
        <f>_xlfn.XLOOKUP(C198,'Place Profiles'!A:A,'Place Profiles'!C:C,"0")</f>
        <v>10.7914436839782</v>
      </c>
      <c r="F198" t="str">
        <v>Nerli, Francesco</v>
      </c>
      <c r="G198" t="str">
        <v>de' Medici, Ferdinando II</v>
      </c>
      <c r="H198" cm="1">
        <f t="array" ref="H198">_xlfn.LET(
_xlpm.t,$G198,
_xlpm.cands,_xlfn._xlws.FILTER('Place Profiles'!$G$2:$G$929,'Place Profiles'!$G$2:$G$929&lt;&gt;""),
_xlpm.counts,COUNTIFS('Raw Data'!$G$2:$G$501,_xlpm.t,'Raw Data'!$F$2:$F$501,_xlpm.cands),
_xlpm.mx,MAX(_xlpm.counts),
IF(_xlpm.mx=0,0,_xlfn.TEXTJOIN(" / ",TRUE,_xlfn._xlws.FILTER(_xlpm.cands,_xlpm.counts=_xlpm.mx)))
)</f>
        <v>0</v>
      </c>
      <c r="I198" t="str">
        <f>_xlfn.XLOOKUP(H198,'Place Profiles'!A:A,'Place Profiles'!B:B,"0")</f>
        <v>0</v>
      </c>
      <c r="J198" t="str">
        <f>_xlfn.XLOOKUP(H198,'Place Profiles'!A:A,'Place Profiles'!C:C,"0")</f>
        <v>0</v>
      </c>
    </row>
    <row r="199" spans="1:10" x14ac:dyDescent="0.45">
      <c r="A199" t="str">
        <v>ID_00198</v>
      </c>
      <c r="B199" t="str">
        <v>1630/03/02</v>
      </c>
      <c r="C199" t="str">
        <v>Mantova</v>
      </c>
      <c r="D199" s="10">
        <f>_xlfn.XLOOKUP(C199,'Place Profiles'!A:A,'Place Profiles'!B:B,"0")</f>
        <v>45.156437254514501</v>
      </c>
      <c r="E199" s="10">
        <f>_xlfn.XLOOKUP(C199,'Place Profiles'!A:A,'Place Profiles'!C:C,"0")</f>
        <v>10.7914436839782</v>
      </c>
      <c r="F199" t="str">
        <v>Gonzaga, Carlo (Charles I)</v>
      </c>
      <c r="G199" t="str">
        <v>de' Medici, Ferdinando II</v>
      </c>
      <c r="H199" cm="1">
        <f t="array" ref="H199">_xlfn.LET(
_xlpm.t,$G199,
_xlpm.cands,_xlfn._xlws.FILTER('Place Profiles'!$G$2:$G$929,'Place Profiles'!$G$2:$G$929&lt;&gt;""),
_xlpm.counts,COUNTIFS('Raw Data'!$G$2:$G$501,_xlpm.t,'Raw Data'!$F$2:$F$501,_xlpm.cands),
_xlpm.mx,MAX(_xlpm.counts),
IF(_xlpm.mx=0,0,_xlfn.TEXTJOIN(" / ",TRUE,_xlfn._xlws.FILTER(_xlpm.cands,_xlpm.counts=_xlpm.mx)))
)</f>
        <v>0</v>
      </c>
      <c r="I199" t="str">
        <f>_xlfn.XLOOKUP(H199,'Place Profiles'!A:A,'Place Profiles'!B:B,"0")</f>
        <v>0</v>
      </c>
      <c r="J199" t="str">
        <f>_xlfn.XLOOKUP(H199,'Place Profiles'!A:A,'Place Profiles'!C:C,"0")</f>
        <v>0</v>
      </c>
    </row>
    <row r="200" spans="1:10" x14ac:dyDescent="0.45">
      <c r="A200" t="str">
        <v>ID_00199</v>
      </c>
      <c r="B200" t="str">
        <v>1630/04/17</v>
      </c>
      <c r="C200" t="str">
        <v>Mantova</v>
      </c>
      <c r="D200" s="10">
        <f>_xlfn.XLOOKUP(C200,'Place Profiles'!A:A,'Place Profiles'!B:B,"0")</f>
        <v>45.156437254514501</v>
      </c>
      <c r="E200" s="10">
        <f>_xlfn.XLOOKUP(C200,'Place Profiles'!A:A,'Place Profiles'!C:C,"0")</f>
        <v>10.7914436839782</v>
      </c>
      <c r="F200" t="str">
        <v>Gonzaga, Caterina</v>
      </c>
      <c r="G200" t="str">
        <v>de' Medici, Ferdinando II</v>
      </c>
      <c r="H200" cm="1">
        <f t="array" ref="H200">_xlfn.LET(
_xlpm.t,$G200,
_xlpm.cands,_xlfn._xlws.FILTER('Place Profiles'!$G$2:$G$929,'Place Profiles'!$G$2:$G$929&lt;&gt;""),
_xlpm.counts,COUNTIFS('Raw Data'!$G$2:$G$501,_xlpm.t,'Raw Data'!$F$2:$F$501,_xlpm.cands),
_xlpm.mx,MAX(_xlpm.counts),
IF(_xlpm.mx=0,0,_xlfn.TEXTJOIN(" / ",TRUE,_xlfn._xlws.FILTER(_xlpm.cands,_xlpm.counts=_xlpm.mx)))
)</f>
        <v>0</v>
      </c>
      <c r="I200" t="str">
        <f>_xlfn.XLOOKUP(H200,'Place Profiles'!A:A,'Place Profiles'!B:B,"0")</f>
        <v>0</v>
      </c>
      <c r="J200" t="str">
        <f>_xlfn.XLOOKUP(H200,'Place Profiles'!A:A,'Place Profiles'!C:C,"0")</f>
        <v>0</v>
      </c>
    </row>
    <row r="201" spans="1:10" x14ac:dyDescent="0.45">
      <c r="A201" t="str">
        <v>ID_00200</v>
      </c>
      <c r="B201" t="str">
        <v>1630/09/05</v>
      </c>
      <c r="C201" t="str">
        <v>Mantova</v>
      </c>
      <c r="D201" s="10">
        <f>_xlfn.XLOOKUP(C201,'Place Profiles'!A:A,'Place Profiles'!B:B,"0")</f>
        <v>45.156437254514501</v>
      </c>
      <c r="E201" s="10">
        <f>_xlfn.XLOOKUP(C201,'Place Profiles'!A:A,'Place Profiles'!C:C,"0")</f>
        <v>10.7914436839782</v>
      </c>
      <c r="F201" t="str">
        <v>Gonzaga, Luigi</v>
      </c>
      <c r="G201" t="str">
        <v>de' Medici, Ferdinando II</v>
      </c>
      <c r="H201" cm="1">
        <f t="array" ref="H201">_xlfn.LET(
_xlpm.t,$G201,
_xlpm.cands,_xlfn._xlws.FILTER('Place Profiles'!$G$2:$G$929,'Place Profiles'!$G$2:$G$929&lt;&gt;""),
_xlpm.counts,COUNTIFS('Raw Data'!$G$2:$G$501,_xlpm.t,'Raw Data'!$F$2:$F$501,_xlpm.cands),
_xlpm.mx,MAX(_xlpm.counts),
IF(_xlpm.mx=0,0,_xlfn.TEXTJOIN(" / ",TRUE,_xlfn._xlws.FILTER(_xlpm.cands,_xlpm.counts=_xlpm.mx)))
)</f>
        <v>0</v>
      </c>
      <c r="I201" t="str">
        <f>_xlfn.XLOOKUP(H201,'Place Profiles'!A:A,'Place Profiles'!B:B,"0")</f>
        <v>0</v>
      </c>
      <c r="J201" t="str">
        <f>_xlfn.XLOOKUP(H201,'Place Profiles'!A:A,'Place Profiles'!C:C,"0")</f>
        <v>0</v>
      </c>
    </row>
    <row r="202" spans="1:10" x14ac:dyDescent="0.45">
      <c r="A202" t="str">
        <v>ID_00201</v>
      </c>
      <c r="B202" t="str">
        <v>1630/09/28</v>
      </c>
      <c r="C202" t="str">
        <v>Mantova</v>
      </c>
      <c r="D202" s="10">
        <f>_xlfn.XLOOKUP(C202,'Place Profiles'!A:A,'Place Profiles'!B:B,"0")</f>
        <v>45.156437254514501</v>
      </c>
      <c r="E202" s="10">
        <f>_xlfn.XLOOKUP(C202,'Place Profiles'!A:A,'Place Profiles'!C:C,"0")</f>
        <v>10.7914436839782</v>
      </c>
      <c r="F202" t="str">
        <v>Agnello, Giulio</v>
      </c>
      <c r="G202" t="str">
        <v>de' Medici, Ferdinando II</v>
      </c>
      <c r="H202" cm="1">
        <f t="array" ref="H202">_xlfn.LET(
_xlpm.t,$G202,
_xlpm.cands,_xlfn._xlws.FILTER('Place Profiles'!$G$2:$G$929,'Place Profiles'!$G$2:$G$929&lt;&gt;""),
_xlpm.counts,COUNTIFS('Raw Data'!$G$2:$G$501,_xlpm.t,'Raw Data'!$F$2:$F$501,_xlpm.cands),
_xlpm.mx,MAX(_xlpm.counts),
IF(_xlpm.mx=0,0,_xlfn.TEXTJOIN(" / ",TRUE,_xlfn._xlws.FILTER(_xlpm.cands,_xlpm.counts=_xlpm.mx)))
)</f>
        <v>0</v>
      </c>
      <c r="I202" t="str">
        <f>_xlfn.XLOOKUP(H202,'Place Profiles'!A:A,'Place Profiles'!B:B,"0")</f>
        <v>0</v>
      </c>
      <c r="J202" t="str">
        <f>_xlfn.XLOOKUP(H202,'Place Profiles'!A:A,'Place Profiles'!C:C,"0")</f>
        <v>0</v>
      </c>
    </row>
    <row r="203" spans="1:10" x14ac:dyDescent="0.45">
      <c r="A203" t="str">
        <v>ID_00202</v>
      </c>
      <c r="B203" t="str">
        <v>1630/09/28</v>
      </c>
      <c r="C203" t="str">
        <v>Mantova</v>
      </c>
      <c r="D203" s="10">
        <f>_xlfn.XLOOKUP(C203,'Place Profiles'!A:A,'Place Profiles'!B:B,"0")</f>
        <v>45.156437254514501</v>
      </c>
      <c r="E203" s="10">
        <f>_xlfn.XLOOKUP(C203,'Place Profiles'!A:A,'Place Profiles'!C:C,"0")</f>
        <v>10.7914436839782</v>
      </c>
      <c r="F203" t="str">
        <v>Gonzaga, Carlo (Charles I)</v>
      </c>
      <c r="G203" t="str">
        <v>de' Medici, Ferdinando II</v>
      </c>
      <c r="H203" cm="1">
        <f t="array" ref="H203">_xlfn.LET(
_xlpm.t,$G203,
_xlpm.cands,_xlfn._xlws.FILTER('Place Profiles'!$G$2:$G$929,'Place Profiles'!$G$2:$G$929&lt;&gt;""),
_xlpm.counts,COUNTIFS('Raw Data'!$G$2:$G$501,_xlpm.t,'Raw Data'!$F$2:$F$501,_xlpm.cands),
_xlpm.mx,MAX(_xlpm.counts),
IF(_xlpm.mx=0,0,_xlfn.TEXTJOIN(" / ",TRUE,_xlfn._xlws.FILTER(_xlpm.cands,_xlpm.counts=_xlpm.mx)))
)</f>
        <v>0</v>
      </c>
      <c r="I203" t="str">
        <f>_xlfn.XLOOKUP(H203,'Place Profiles'!A:A,'Place Profiles'!B:B,"0")</f>
        <v>0</v>
      </c>
      <c r="J203" t="str">
        <f>_xlfn.XLOOKUP(H203,'Place Profiles'!A:A,'Place Profiles'!C:C,"0")</f>
        <v>0</v>
      </c>
    </row>
    <row r="204" spans="1:10" x14ac:dyDescent="0.45">
      <c r="A204" t="str">
        <v>ID_00203</v>
      </c>
      <c r="B204" t="str">
        <v>1630/10/13</v>
      </c>
      <c r="C204" t="str">
        <v>Mantova</v>
      </c>
      <c r="D204" s="10">
        <f>_xlfn.XLOOKUP(C204,'Place Profiles'!A:A,'Place Profiles'!B:B,"0")</f>
        <v>45.156437254514501</v>
      </c>
      <c r="E204" s="10">
        <f>_xlfn.XLOOKUP(C204,'Place Profiles'!A:A,'Place Profiles'!C:C,"0")</f>
        <v>10.7914436839782</v>
      </c>
      <c r="F204" t="str">
        <v>Gonzaga, Maria</v>
      </c>
      <c r="G204" t="str">
        <v>de' Medici, Ferdinando II</v>
      </c>
      <c r="H204" cm="1">
        <f t="array" ref="H204">_xlfn.LET(
_xlpm.t,$G204,
_xlpm.cands,_xlfn._xlws.FILTER('Place Profiles'!$G$2:$G$929,'Place Profiles'!$G$2:$G$929&lt;&gt;""),
_xlpm.counts,COUNTIFS('Raw Data'!$G$2:$G$501,_xlpm.t,'Raw Data'!$F$2:$F$501,_xlpm.cands),
_xlpm.mx,MAX(_xlpm.counts),
IF(_xlpm.mx=0,0,_xlfn.TEXTJOIN(" / ",TRUE,_xlfn._xlws.FILTER(_xlpm.cands,_xlpm.counts=_xlpm.mx)))
)</f>
        <v>0</v>
      </c>
      <c r="I204" t="str">
        <f>_xlfn.XLOOKUP(H204,'Place Profiles'!A:A,'Place Profiles'!B:B,"0")</f>
        <v>0</v>
      </c>
      <c r="J204" t="str">
        <f>_xlfn.XLOOKUP(H204,'Place Profiles'!A:A,'Place Profiles'!C:C,"0")</f>
        <v>0</v>
      </c>
    </row>
    <row r="205" spans="1:10" x14ac:dyDescent="0.45">
      <c r="A205" t="str">
        <v>ID_00204</v>
      </c>
      <c r="B205" t="str">
        <v>1630/10/16</v>
      </c>
      <c r="C205" t="str">
        <v>Mantova</v>
      </c>
      <c r="D205" s="10">
        <f>_xlfn.XLOOKUP(C205,'Place Profiles'!A:A,'Place Profiles'!B:B,"0")</f>
        <v>45.156437254514501</v>
      </c>
      <c r="E205" s="10">
        <f>_xlfn.XLOOKUP(C205,'Place Profiles'!A:A,'Place Profiles'!C:C,"0")</f>
        <v>10.7914436839782</v>
      </c>
      <c r="F205" t="str">
        <v>Gonzaga, Carlo (Charles I)</v>
      </c>
      <c r="G205" t="str">
        <v>de' Medici, Ferdinando II</v>
      </c>
      <c r="H205" cm="1">
        <f t="array" ref="H205">_xlfn.LET(
_xlpm.t,$G205,
_xlpm.cands,_xlfn._xlws.FILTER('Place Profiles'!$G$2:$G$929,'Place Profiles'!$G$2:$G$929&lt;&gt;""),
_xlpm.counts,COUNTIFS('Raw Data'!$G$2:$G$501,_xlpm.t,'Raw Data'!$F$2:$F$501,_xlpm.cands),
_xlpm.mx,MAX(_xlpm.counts),
IF(_xlpm.mx=0,0,_xlfn.TEXTJOIN(" / ",TRUE,_xlfn._xlws.FILTER(_xlpm.cands,_xlpm.counts=_xlpm.mx)))
)</f>
        <v>0</v>
      </c>
      <c r="I205" t="str">
        <f>_xlfn.XLOOKUP(H205,'Place Profiles'!A:A,'Place Profiles'!B:B,"0")</f>
        <v>0</v>
      </c>
      <c r="J205" t="str">
        <f>_xlfn.XLOOKUP(H205,'Place Profiles'!A:A,'Place Profiles'!C:C,"0")</f>
        <v>0</v>
      </c>
    </row>
    <row r="206" spans="1:10" x14ac:dyDescent="0.45">
      <c r="A206" t="str">
        <v>ID_00205</v>
      </c>
      <c r="B206" t="str">
        <v>1628/01/21</v>
      </c>
      <c r="C206" t="str">
        <v>Mantova</v>
      </c>
      <c r="D206" s="10">
        <f>_xlfn.XLOOKUP(C206,'Place Profiles'!A:A,'Place Profiles'!B:B,"0")</f>
        <v>45.156437254514501</v>
      </c>
      <c r="E206" s="10">
        <f>_xlfn.XLOOKUP(C206,'Place Profiles'!A:A,'Place Profiles'!C:C,"0")</f>
        <v>10.7914436839782</v>
      </c>
      <c r="F206" t="str">
        <v>Gonzaga, Carlo (Charles I)</v>
      </c>
      <c r="G206" t="str">
        <v>di Lorena, Cristina</v>
      </c>
      <c r="H206" t="str" cm="1">
        <f t="array" ref="H206">_xlfn.LET(
_xlpm.t,$G206,
_xlpm.cands,_xlfn._xlws.FILTER('Place Profiles'!$G$2:$G$929,'Place Profiles'!$G$2:$G$929&lt;&gt;""),
_xlpm.counts,COUNTIFS('Raw Data'!$G$2:$G$501,_xlpm.t,'Raw Data'!$F$2:$F$501,_xlpm.cands),
_xlpm.mx,MAX(_xlpm.counts),
IF(_xlpm.mx=0,0,_xlfn.TEXTJOIN(" / ",TRUE,_xlfn._xlws.FILTER(_xlpm.cands,_xlpm.counts=_xlpm.mx)))
)</f>
        <v>Firenze/Fiorenza</v>
      </c>
      <c r="I206">
        <f>_xlfn.XLOOKUP(H206,'Place Profiles'!A:A,'Place Profiles'!B:B,"0")</f>
        <v>43.773821664204803</v>
      </c>
      <c r="J206">
        <f>_xlfn.XLOOKUP(H206,'Place Profiles'!A:A,'Place Profiles'!C:C,"0")</f>
        <v>11.2555362617661</v>
      </c>
    </row>
    <row r="207" spans="1:10" x14ac:dyDescent="0.45">
      <c r="A207" t="str">
        <v>ID_00206</v>
      </c>
      <c r="B207" t="str">
        <v>1630/10/16</v>
      </c>
      <c r="C207" t="str">
        <v>Mantova</v>
      </c>
      <c r="D207" s="10">
        <f>_xlfn.XLOOKUP(C207,'Place Profiles'!A:A,'Place Profiles'!B:B,"0")</f>
        <v>45.156437254514501</v>
      </c>
      <c r="E207" s="10">
        <f>_xlfn.XLOOKUP(C207,'Place Profiles'!A:A,'Place Profiles'!C:C,"0")</f>
        <v>10.7914436839782</v>
      </c>
      <c r="F207" t="str">
        <v>Gonzaga, Carlo (Charles II)</v>
      </c>
      <c r="G207" t="str">
        <v>de' Medici, Ferdinando II</v>
      </c>
      <c r="H207" cm="1">
        <f t="array" ref="H207">_xlfn.LET(
_xlpm.t,$G207,
_xlpm.cands,_xlfn._xlws.FILTER('Place Profiles'!$G$2:$G$929,'Place Profiles'!$G$2:$G$929&lt;&gt;""),
_xlpm.counts,COUNTIFS('Raw Data'!$G$2:$G$501,_xlpm.t,'Raw Data'!$F$2:$F$501,_xlpm.cands),
_xlpm.mx,MAX(_xlpm.counts),
IF(_xlpm.mx=0,0,_xlfn.TEXTJOIN(" / ",TRUE,_xlfn._xlws.FILTER(_xlpm.cands,_xlpm.counts=_xlpm.mx)))
)</f>
        <v>0</v>
      </c>
      <c r="I207" t="str">
        <f>_xlfn.XLOOKUP(H207,'Place Profiles'!A:A,'Place Profiles'!B:B,"0")</f>
        <v>0</v>
      </c>
      <c r="J207" t="str">
        <f>_xlfn.XLOOKUP(H207,'Place Profiles'!A:A,'Place Profiles'!C:C,"0")</f>
        <v>0</v>
      </c>
    </row>
    <row r="208" spans="1:10" x14ac:dyDescent="0.45">
      <c r="A208" t="str">
        <v>ID_00207</v>
      </c>
      <c r="B208" t="str">
        <v>1628/03/29</v>
      </c>
      <c r="C208" t="str">
        <v>Mantova</v>
      </c>
      <c r="D208" s="10">
        <f>_xlfn.XLOOKUP(C208,'Place Profiles'!A:A,'Place Profiles'!B:B,"0")</f>
        <v>45.156437254514501</v>
      </c>
      <c r="E208" s="10">
        <f>_xlfn.XLOOKUP(C208,'Place Profiles'!A:A,'Place Profiles'!C:C,"0")</f>
        <v>10.7914436839782</v>
      </c>
      <c r="F208" t="str">
        <v>Gonzaga, Carlo (Charles I)</v>
      </c>
      <c r="G208" t="str">
        <v>de' Medici, Ferdinando II</v>
      </c>
      <c r="H208" cm="1">
        <f t="array" ref="H208">_xlfn.LET(
_xlpm.t,$G208,
_xlpm.cands,_xlfn._xlws.FILTER('Place Profiles'!$G$2:$G$929,'Place Profiles'!$G$2:$G$929&lt;&gt;""),
_xlpm.counts,COUNTIFS('Raw Data'!$G$2:$G$501,_xlpm.t,'Raw Data'!$F$2:$F$501,_xlpm.cands),
_xlpm.mx,MAX(_xlpm.counts),
IF(_xlpm.mx=0,0,_xlfn.TEXTJOIN(" / ",TRUE,_xlfn._xlws.FILTER(_xlpm.cands,_xlpm.counts=_xlpm.mx)))
)</f>
        <v>0</v>
      </c>
      <c r="I208" t="str">
        <f>_xlfn.XLOOKUP(H208,'Place Profiles'!A:A,'Place Profiles'!B:B,"0")</f>
        <v>0</v>
      </c>
      <c r="J208" t="str">
        <f>_xlfn.XLOOKUP(H208,'Place Profiles'!A:A,'Place Profiles'!C:C,"0")</f>
        <v>0</v>
      </c>
    </row>
    <row r="209" spans="1:10" x14ac:dyDescent="0.45">
      <c r="A209" t="str">
        <v>ID_00208</v>
      </c>
      <c r="B209" t="str">
        <v>1624/07/11</v>
      </c>
      <c r="C209" t="str">
        <v>Napoli</v>
      </c>
      <c r="D209" s="10">
        <f>_xlfn.XLOOKUP(C209,'Place Profiles'!A:A,'Place Profiles'!B:B,"0")</f>
        <v>40.848961755168702</v>
      </c>
      <c r="E209" s="10">
        <f>_xlfn.XLOOKUP(C209,'Place Profiles'!A:A,'Place Profiles'!C:C,"0")</f>
        <v>14.271792379340599</v>
      </c>
      <c r="F209" t="str">
        <v>Unnamed</v>
      </c>
      <c r="G209" t="str">
        <v>von Habsburg, Maria Magdalena</v>
      </c>
      <c r="H209" t="str" cm="1">
        <f t="array" ref="H209">_xlfn.LET(
_xlpm.t,$G209,
_xlpm.cands,_xlfn._xlws.FILTER('Place Profiles'!$G$2:$G$929,'Place Profiles'!$G$2:$G$929&lt;&gt;""),
_xlpm.counts,COUNTIFS('Raw Data'!$G$2:$G$501,_xlpm.t,'Raw Data'!$F$2:$F$501,_xlpm.cands),
_xlpm.mx,MAX(_xlpm.counts),
IF(_xlpm.mx=0,0,_xlfn.TEXTJOIN(" / ",TRUE,_xlfn._xlws.FILTER(_xlpm.cands,_xlpm.counts=_xlpm.mx)))
)</f>
        <v>Firenze/Fiorenza</v>
      </c>
      <c r="I209">
        <f>_xlfn.XLOOKUP(H209,'Place Profiles'!A:A,'Place Profiles'!B:B,"0")</f>
        <v>43.773821664204803</v>
      </c>
      <c r="J209">
        <f>_xlfn.XLOOKUP(H209,'Place Profiles'!A:A,'Place Profiles'!C:C,"0")</f>
        <v>11.2555362617661</v>
      </c>
    </row>
    <row r="210" spans="1:10" x14ac:dyDescent="0.45">
      <c r="A210" t="str">
        <v>ID_00209</v>
      </c>
      <c r="B210" t="str">
        <v>1624/07/09</v>
      </c>
      <c r="C210" t="str">
        <v>Napoli</v>
      </c>
      <c r="D210" s="10">
        <f>_xlfn.XLOOKUP(C210,'Place Profiles'!A:A,'Place Profiles'!B:B,"0")</f>
        <v>40.848961755168702</v>
      </c>
      <c r="E210" s="10">
        <f>_xlfn.XLOOKUP(C210,'Place Profiles'!A:A,'Place Profiles'!C:C,"0")</f>
        <v>14.271792379340599</v>
      </c>
      <c r="F210" t="str">
        <v>Unnamed</v>
      </c>
      <c r="G210" t="str">
        <v>de' Medici, Ferdinando II</v>
      </c>
      <c r="H210" cm="1">
        <f t="array" ref="H210">_xlfn.LET(
_xlpm.t,$G210,
_xlpm.cands,_xlfn._xlws.FILTER('Place Profiles'!$G$2:$G$929,'Place Profiles'!$G$2:$G$929&lt;&gt;""),
_xlpm.counts,COUNTIFS('Raw Data'!$G$2:$G$501,_xlpm.t,'Raw Data'!$F$2:$F$501,_xlpm.cands),
_xlpm.mx,MAX(_xlpm.counts),
IF(_xlpm.mx=0,0,_xlfn.TEXTJOIN(" / ",TRUE,_xlfn._xlws.FILTER(_xlpm.cands,_xlpm.counts=_xlpm.mx)))
)</f>
        <v>0</v>
      </c>
      <c r="I210" t="str">
        <f>_xlfn.XLOOKUP(H210,'Place Profiles'!A:A,'Place Profiles'!B:B,"0")</f>
        <v>0</v>
      </c>
      <c r="J210" t="str">
        <f>_xlfn.XLOOKUP(H210,'Place Profiles'!A:A,'Place Profiles'!C:C,"0")</f>
        <v>0</v>
      </c>
    </row>
    <row r="211" spans="1:10" x14ac:dyDescent="0.45">
      <c r="A211" t="str">
        <v>ID_00210</v>
      </c>
      <c r="B211" t="str">
        <v>1624/06/21</v>
      </c>
      <c r="C211" t="str">
        <v>Napoli</v>
      </c>
      <c r="D211" s="10">
        <f>_xlfn.XLOOKUP(C211,'Place Profiles'!A:A,'Place Profiles'!B:B,"0")</f>
        <v>40.848961755168702</v>
      </c>
      <c r="E211" s="10">
        <f>_xlfn.XLOOKUP(C211,'Place Profiles'!A:A,'Place Profiles'!C:C,"0")</f>
        <v>14.271792379340599</v>
      </c>
      <c r="F211" t="str">
        <v>Unnamed</v>
      </c>
      <c r="G211" t="str">
        <v>von Habsburg, Maria Magdalena</v>
      </c>
      <c r="H211" t="str" cm="1">
        <f t="array" ref="H211">_xlfn.LET(
_xlpm.t,$G211,
_xlpm.cands,_xlfn._xlws.FILTER('Place Profiles'!$G$2:$G$929,'Place Profiles'!$G$2:$G$929&lt;&gt;""),
_xlpm.counts,COUNTIFS('Raw Data'!$G$2:$G$501,_xlpm.t,'Raw Data'!$F$2:$F$501,_xlpm.cands),
_xlpm.mx,MAX(_xlpm.counts),
IF(_xlpm.mx=0,0,_xlfn.TEXTJOIN(" / ",TRUE,_xlfn._xlws.FILTER(_xlpm.cands,_xlpm.counts=_xlpm.mx)))
)</f>
        <v>Firenze/Fiorenza</v>
      </c>
      <c r="I211">
        <f>_xlfn.XLOOKUP(H211,'Place Profiles'!A:A,'Place Profiles'!B:B,"0")</f>
        <v>43.773821664204803</v>
      </c>
      <c r="J211">
        <f>_xlfn.XLOOKUP(H211,'Place Profiles'!A:A,'Place Profiles'!C:C,"0")</f>
        <v>11.2555362617661</v>
      </c>
    </row>
    <row r="212" spans="1:10" x14ac:dyDescent="0.45">
      <c r="A212" t="str">
        <v>ID_00211</v>
      </c>
      <c r="B212" t="str">
        <v>1624/06/21</v>
      </c>
      <c r="C212" t="str">
        <v>Napoli</v>
      </c>
      <c r="D212" s="10">
        <f>_xlfn.XLOOKUP(C212,'Place Profiles'!A:A,'Place Profiles'!B:B,"0")</f>
        <v>40.848961755168702</v>
      </c>
      <c r="E212" s="10">
        <f>_xlfn.XLOOKUP(C212,'Place Profiles'!A:A,'Place Profiles'!C:C,"0")</f>
        <v>14.271792379340599</v>
      </c>
      <c r="F212" t="str">
        <v>Unnamed</v>
      </c>
      <c r="G212" t="str">
        <v>von Habsburg, Maria Magdalena</v>
      </c>
      <c r="H212" t="str" cm="1">
        <f t="array" ref="H212">_xlfn.LET(
_xlpm.t,$G212,
_xlpm.cands,_xlfn._xlws.FILTER('Place Profiles'!$G$2:$G$929,'Place Profiles'!$G$2:$G$929&lt;&gt;""),
_xlpm.counts,COUNTIFS('Raw Data'!$G$2:$G$501,_xlpm.t,'Raw Data'!$F$2:$F$501,_xlpm.cands),
_xlpm.mx,MAX(_xlpm.counts),
IF(_xlpm.mx=0,0,_xlfn.TEXTJOIN(" / ",TRUE,_xlfn._xlws.FILTER(_xlpm.cands,_xlpm.counts=_xlpm.mx)))
)</f>
        <v>Firenze/Fiorenza</v>
      </c>
      <c r="I212">
        <f>_xlfn.XLOOKUP(H212,'Place Profiles'!A:A,'Place Profiles'!B:B,"0")</f>
        <v>43.773821664204803</v>
      </c>
      <c r="J212">
        <f>_xlfn.XLOOKUP(H212,'Place Profiles'!A:A,'Place Profiles'!C:C,"0")</f>
        <v>11.2555362617661</v>
      </c>
    </row>
    <row r="213" spans="1:10" x14ac:dyDescent="0.45">
      <c r="A213" t="str">
        <v>ID_00212</v>
      </c>
      <c r="B213" t="str">
        <v>1624/06/20</v>
      </c>
      <c r="C213" t="str">
        <v>Napoli</v>
      </c>
      <c r="D213" s="10">
        <f>_xlfn.XLOOKUP(C213,'Place Profiles'!A:A,'Place Profiles'!B:B,"0")</f>
        <v>40.848961755168702</v>
      </c>
      <c r="E213" s="10">
        <f>_xlfn.XLOOKUP(C213,'Place Profiles'!A:A,'Place Profiles'!C:C,"0")</f>
        <v>14.271792379340599</v>
      </c>
      <c r="F213" t="str">
        <v>Unnamed</v>
      </c>
      <c r="G213" t="str">
        <v>von Habsburg, Maria Magdalena</v>
      </c>
      <c r="H213" t="str" cm="1">
        <f t="array" ref="H213">_xlfn.LET(
_xlpm.t,$G213,
_xlpm.cands,_xlfn._xlws.FILTER('Place Profiles'!$G$2:$G$929,'Place Profiles'!$G$2:$G$929&lt;&gt;""),
_xlpm.counts,COUNTIFS('Raw Data'!$G$2:$G$501,_xlpm.t,'Raw Data'!$F$2:$F$501,_xlpm.cands),
_xlpm.mx,MAX(_xlpm.counts),
IF(_xlpm.mx=0,0,_xlfn.TEXTJOIN(" / ",TRUE,_xlfn._xlws.FILTER(_xlpm.cands,_xlpm.counts=_xlpm.mx)))
)</f>
        <v>Firenze/Fiorenza</v>
      </c>
      <c r="I213">
        <f>_xlfn.XLOOKUP(H213,'Place Profiles'!A:A,'Place Profiles'!B:B,"0")</f>
        <v>43.773821664204803</v>
      </c>
      <c r="J213">
        <f>_xlfn.XLOOKUP(H213,'Place Profiles'!A:A,'Place Profiles'!C:C,"0")</f>
        <v>11.2555362617661</v>
      </c>
    </row>
    <row r="214" spans="1:10" x14ac:dyDescent="0.45">
      <c r="A214" t="str">
        <v>ID_00213</v>
      </c>
      <c r="B214" t="str">
        <v>1628/06/12</v>
      </c>
      <c r="C214" t="str">
        <v>Villa a Bagnuolo</v>
      </c>
      <c r="D214" s="10">
        <f>_xlfn.XLOOKUP(C214,'Place Profiles'!A:A,'Place Profiles'!B:B,"0")</f>
        <v>0</v>
      </c>
      <c r="E214" s="10">
        <f>_xlfn.XLOOKUP(C214,'Place Profiles'!A:A,'Place Profiles'!C:C,"0")</f>
        <v>0</v>
      </c>
      <c r="F214" t="str">
        <v>Simoni, Antonio</v>
      </c>
      <c r="G214" t="str">
        <v>Unnamed</v>
      </c>
      <c r="H214" t="str" cm="1">
        <f t="array" ref="H214">_xlfn.LET(
_xlpm.t,$G214,
_xlpm.cands,_xlfn._xlws.FILTER('Place Profiles'!$G$2:$G$929,'Place Profiles'!$G$2:$G$929&lt;&gt;""),
_xlpm.counts,COUNTIFS('Raw Data'!$G$2:$G$501,_xlpm.t,'Raw Data'!$F$2:$F$501,_xlpm.cands),
_xlpm.mx,MAX(_xlpm.counts),
IF(_xlpm.mx=0,0,_xlfn.TEXTJOIN(" / ",TRUE,_xlfn._xlws.FILTER(_xlpm.cands,_xlpm.counts=_xlpm.mx)))
)</f>
        <v>Napoli</v>
      </c>
      <c r="I214">
        <f>_xlfn.XLOOKUP(H214,'Place Profiles'!A:A,'Place Profiles'!B:B,"0")</f>
        <v>40.848961755168702</v>
      </c>
      <c r="J214">
        <f>_xlfn.XLOOKUP(H214,'Place Profiles'!A:A,'Place Profiles'!C:C,"0")</f>
        <v>14.271792379340599</v>
      </c>
    </row>
    <row r="215" spans="1:10" x14ac:dyDescent="0.45">
      <c r="A215" t="str">
        <v>ID_00214</v>
      </c>
      <c r="B215" t="str">
        <v>1628/06/12</v>
      </c>
      <c r="C215" t="str">
        <v>Villa a Bagnuolo</v>
      </c>
      <c r="D215" s="10">
        <f>_xlfn.XLOOKUP(C215,'Place Profiles'!A:A,'Place Profiles'!B:B,"0")</f>
        <v>0</v>
      </c>
      <c r="E215" s="10">
        <f>_xlfn.XLOOKUP(C215,'Place Profiles'!A:A,'Place Profiles'!C:C,"0")</f>
        <v>0</v>
      </c>
      <c r="F215" t="str">
        <v>Simoni, Antonio</v>
      </c>
      <c r="G215" t="str">
        <v>von Habsburg, Maria Magdalena</v>
      </c>
      <c r="H215" t="str" cm="1">
        <f t="array" ref="H215">_xlfn.LET(
_xlpm.t,$G215,
_xlpm.cands,_xlfn._xlws.FILTER('Place Profiles'!$G$2:$G$929,'Place Profiles'!$G$2:$G$929&lt;&gt;""),
_xlpm.counts,COUNTIFS('Raw Data'!$G$2:$G$501,_xlpm.t,'Raw Data'!$F$2:$F$501,_xlpm.cands),
_xlpm.mx,MAX(_xlpm.counts),
IF(_xlpm.mx=0,0,_xlfn.TEXTJOIN(" / ",TRUE,_xlfn._xlws.FILTER(_xlpm.cands,_xlpm.counts=_xlpm.mx)))
)</f>
        <v>Firenze/Fiorenza</v>
      </c>
      <c r="I215">
        <f>_xlfn.XLOOKUP(H215,'Place Profiles'!A:A,'Place Profiles'!B:B,"0")</f>
        <v>43.773821664204803</v>
      </c>
      <c r="J215">
        <f>_xlfn.XLOOKUP(H215,'Place Profiles'!A:A,'Place Profiles'!C:C,"0")</f>
        <v>11.2555362617661</v>
      </c>
    </row>
    <row r="216" spans="1:10" x14ac:dyDescent="0.45">
      <c r="A216" t="str">
        <v>ID_00215</v>
      </c>
      <c r="B216" t="str">
        <v>1630/07/13</v>
      </c>
      <c r="C216" t="str">
        <v>Illegible</v>
      </c>
      <c r="D216" s="10">
        <f>_xlfn.XLOOKUP(C216,'Place Profiles'!A:A,'Place Profiles'!B:B,"0")</f>
        <v>0</v>
      </c>
      <c r="E216" s="10">
        <f>_xlfn.XLOOKUP(C216,'Place Profiles'!A:A,'Place Profiles'!C:C,"0")</f>
        <v>0</v>
      </c>
      <c r="F216" t="str">
        <v>Illegible</v>
      </c>
      <c r="G216" t="str">
        <v>von Habsburg, Maria Magdalena</v>
      </c>
      <c r="H216" t="str" cm="1">
        <f t="array" ref="H216">_xlfn.LET(
_xlpm.t,$G216,
_xlpm.cands,_xlfn._xlws.FILTER('Place Profiles'!$G$2:$G$929,'Place Profiles'!$G$2:$G$929&lt;&gt;""),
_xlpm.counts,COUNTIFS('Raw Data'!$G$2:$G$501,_xlpm.t,'Raw Data'!$F$2:$F$501,_xlpm.cands),
_xlpm.mx,MAX(_xlpm.counts),
IF(_xlpm.mx=0,0,_xlfn.TEXTJOIN(" / ",TRUE,_xlfn._xlws.FILTER(_xlpm.cands,_xlpm.counts=_xlpm.mx)))
)</f>
        <v>Firenze/Fiorenza</v>
      </c>
      <c r="I216">
        <f>_xlfn.XLOOKUP(H216,'Place Profiles'!A:A,'Place Profiles'!B:B,"0")</f>
        <v>43.773821664204803</v>
      </c>
      <c r="J216">
        <f>_xlfn.XLOOKUP(H216,'Place Profiles'!A:A,'Place Profiles'!C:C,"0")</f>
        <v>11.2555362617661</v>
      </c>
    </row>
    <row r="217" spans="1:10" x14ac:dyDescent="0.45">
      <c r="A217" t="str">
        <v>ID_00216</v>
      </c>
      <c r="B217" t="str">
        <v>1630/09/15</v>
      </c>
      <c r="C217" t="str">
        <v>Unknown</v>
      </c>
      <c r="D217" s="10">
        <f>_xlfn.XLOOKUP(C217,'Place Profiles'!A:A,'Place Profiles'!B:B,"0")</f>
        <v>0</v>
      </c>
      <c r="E217" s="10">
        <f>_xlfn.XLOOKUP(C217,'Place Profiles'!A:A,'Place Profiles'!C:C,"0")</f>
        <v>0</v>
      </c>
      <c r="F217" t="str">
        <v>Parigi, Giulio</v>
      </c>
      <c r="G217" t="str">
        <v>von Habsburg, Maria Magdalena</v>
      </c>
      <c r="H217" t="str" cm="1">
        <f t="array" ref="H217">_xlfn.LET(
_xlpm.t,$G217,
_xlpm.cands,_xlfn._xlws.FILTER('Place Profiles'!$G$2:$G$929,'Place Profiles'!$G$2:$G$929&lt;&gt;""),
_xlpm.counts,COUNTIFS('Raw Data'!$G$2:$G$501,_xlpm.t,'Raw Data'!$F$2:$F$501,_xlpm.cands),
_xlpm.mx,MAX(_xlpm.counts),
IF(_xlpm.mx=0,0,_xlfn.TEXTJOIN(" / ",TRUE,_xlfn._xlws.FILTER(_xlpm.cands,_xlpm.counts=_xlpm.mx)))
)</f>
        <v>Firenze/Fiorenza</v>
      </c>
      <c r="I217">
        <f>_xlfn.XLOOKUP(H217,'Place Profiles'!A:A,'Place Profiles'!B:B,"0")</f>
        <v>43.773821664204803</v>
      </c>
      <c r="J217">
        <f>_xlfn.XLOOKUP(H217,'Place Profiles'!A:A,'Place Profiles'!C:C,"0")</f>
        <v>11.2555362617661</v>
      </c>
    </row>
    <row r="218" spans="1:10" x14ac:dyDescent="0.45">
      <c r="A218" t="str">
        <v>ID_00217</v>
      </c>
      <c r="B218" t="str">
        <v>1621/07/13</v>
      </c>
      <c r="C218" t="str">
        <v>Palazzo Pitti</v>
      </c>
      <c r="D218" s="10">
        <f>_xlfn.XLOOKUP(C218,'Place Profiles'!A:A,'Place Profiles'!B:B,"0")</f>
        <v>43.765184263861499</v>
      </c>
      <c r="E218" s="10">
        <f>_xlfn.XLOOKUP(C218,'Place Profiles'!A:A,'Place Profiles'!C:C,"0")</f>
        <v>11.2499973679862</v>
      </c>
      <c r="F218" t="str">
        <v>Unnamed</v>
      </c>
      <c r="G218" t="str">
        <v>Unnamed</v>
      </c>
      <c r="H218" t="str" cm="1">
        <f t="array" ref="H218">_xlfn.LET(
_xlpm.t,$G218,
_xlpm.cands,_xlfn._xlws.FILTER('Place Profiles'!$G$2:$G$929,'Place Profiles'!$G$2:$G$929&lt;&gt;""),
_xlpm.counts,COUNTIFS('Raw Data'!$G$2:$G$501,_xlpm.t,'Raw Data'!$F$2:$F$501,_xlpm.cands),
_xlpm.mx,MAX(_xlpm.counts),
IF(_xlpm.mx=0,0,_xlfn.TEXTJOIN(" / ",TRUE,_xlfn._xlws.FILTER(_xlpm.cands,_xlpm.counts=_xlpm.mx)))
)</f>
        <v>Napoli</v>
      </c>
      <c r="I218">
        <f>_xlfn.XLOOKUP(H218,'Place Profiles'!A:A,'Place Profiles'!B:B,"0")</f>
        <v>40.848961755168702</v>
      </c>
      <c r="J218">
        <f>_xlfn.XLOOKUP(H218,'Place Profiles'!A:A,'Place Profiles'!C:C,"0")</f>
        <v>14.271792379340599</v>
      </c>
    </row>
    <row r="219" spans="1:10" x14ac:dyDescent="0.45">
      <c r="A219" t="str">
        <v>ID_00218</v>
      </c>
      <c r="B219" t="str">
        <v>1631/09/05</v>
      </c>
      <c r="C219" t="str">
        <v>Unknown</v>
      </c>
      <c r="D219" s="10">
        <f>_xlfn.XLOOKUP(C219,'Place Profiles'!A:A,'Place Profiles'!B:B,"0")</f>
        <v>0</v>
      </c>
      <c r="E219" s="10">
        <f>_xlfn.XLOOKUP(C219,'Place Profiles'!A:A,'Place Profiles'!C:C,"0")</f>
        <v>0</v>
      </c>
      <c r="F219" t="str">
        <v xml:space="preserve">Nigetti, Matteo </v>
      </c>
      <c r="G219" t="str">
        <v>Unnamed</v>
      </c>
      <c r="H219" t="str" cm="1">
        <f t="array" ref="H219">_xlfn.LET(
_xlpm.t,$G219,
_xlpm.cands,_xlfn._xlws.FILTER('Place Profiles'!$G$2:$G$929,'Place Profiles'!$G$2:$G$929&lt;&gt;""),
_xlpm.counts,COUNTIFS('Raw Data'!$G$2:$G$501,_xlpm.t,'Raw Data'!$F$2:$F$501,_xlpm.cands),
_xlpm.mx,MAX(_xlpm.counts),
IF(_xlpm.mx=0,0,_xlfn.TEXTJOIN(" / ",TRUE,_xlfn._xlws.FILTER(_xlpm.cands,_xlpm.counts=_xlpm.mx)))
)</f>
        <v>Napoli</v>
      </c>
      <c r="I219">
        <f>_xlfn.XLOOKUP(H219,'Place Profiles'!A:A,'Place Profiles'!B:B,"0")</f>
        <v>40.848961755168702</v>
      </c>
      <c r="J219">
        <f>_xlfn.XLOOKUP(H219,'Place Profiles'!A:A,'Place Profiles'!C:C,"0")</f>
        <v>14.271792379340599</v>
      </c>
    </row>
    <row r="220" spans="1:10" x14ac:dyDescent="0.45">
      <c r="A220" t="str">
        <v>ID_00219</v>
      </c>
      <c r="B220" t="str">
        <v>1628/06/27</v>
      </c>
      <c r="C220" t="str">
        <v>Unknown</v>
      </c>
      <c r="D220" s="10">
        <f>_xlfn.XLOOKUP(C220,'Place Profiles'!A:A,'Place Profiles'!B:B,"0")</f>
        <v>0</v>
      </c>
      <c r="E220" s="10">
        <f>_xlfn.XLOOKUP(C220,'Place Profiles'!A:A,'Place Profiles'!C:C,"0")</f>
        <v>0</v>
      </c>
      <c r="F220" t="str">
        <v>Capponi, Carlo</v>
      </c>
      <c r="G220" t="str">
        <v>von Habsburg, Maria Magdalena</v>
      </c>
      <c r="H220" t="str" cm="1">
        <f t="array" ref="H220">_xlfn.LET(
_xlpm.t,$G220,
_xlpm.cands,_xlfn._xlws.FILTER('Place Profiles'!$G$2:$G$929,'Place Profiles'!$G$2:$G$929&lt;&gt;""),
_xlpm.counts,COUNTIFS('Raw Data'!$G$2:$G$501,_xlpm.t,'Raw Data'!$F$2:$F$501,_xlpm.cands),
_xlpm.mx,MAX(_xlpm.counts),
IF(_xlpm.mx=0,0,_xlfn.TEXTJOIN(" / ",TRUE,_xlfn._xlws.FILTER(_xlpm.cands,_xlpm.counts=_xlpm.mx)))
)</f>
        <v>Firenze/Fiorenza</v>
      </c>
      <c r="I220">
        <f>_xlfn.XLOOKUP(H220,'Place Profiles'!A:A,'Place Profiles'!B:B,"0")</f>
        <v>43.773821664204803</v>
      </c>
      <c r="J220">
        <f>_xlfn.XLOOKUP(H220,'Place Profiles'!A:A,'Place Profiles'!C:C,"0")</f>
        <v>11.2555362617661</v>
      </c>
    </row>
    <row r="221" spans="1:10" x14ac:dyDescent="0.45">
      <c r="A221" t="str">
        <v>ID_00220</v>
      </c>
      <c r="B221" t="str">
        <v>1622/05/15</v>
      </c>
      <c r="C221" t="str">
        <v>Siena</v>
      </c>
      <c r="D221" s="10">
        <f>_xlfn.XLOOKUP(C221,'Place Profiles'!A:A,'Place Profiles'!B:B,"0")</f>
        <v>43.3184768539152</v>
      </c>
      <c r="E221" s="10">
        <f>_xlfn.XLOOKUP(C221,'Place Profiles'!A:A,'Place Profiles'!C:C,"0")</f>
        <v>11.3310792700061</v>
      </c>
      <c r="F221" t="str">
        <v>Vecchi, Virgilio</v>
      </c>
      <c r="G221" t="str">
        <v>von Habsburg, Maria Magdalena</v>
      </c>
      <c r="H221" t="str" cm="1">
        <f t="array" ref="H221">_xlfn.LET(
_xlpm.t,$G221,
_xlpm.cands,_xlfn._xlws.FILTER('Place Profiles'!$G$2:$G$929,'Place Profiles'!$G$2:$G$929&lt;&gt;""),
_xlpm.counts,COUNTIFS('Raw Data'!$G$2:$G$501,_xlpm.t,'Raw Data'!$F$2:$F$501,_xlpm.cands),
_xlpm.mx,MAX(_xlpm.counts),
IF(_xlpm.mx=0,0,_xlfn.TEXTJOIN(" / ",TRUE,_xlfn._xlws.FILTER(_xlpm.cands,_xlpm.counts=_xlpm.mx)))
)</f>
        <v>Firenze/Fiorenza</v>
      </c>
      <c r="I221">
        <f>_xlfn.XLOOKUP(H221,'Place Profiles'!A:A,'Place Profiles'!B:B,"0")</f>
        <v>43.773821664204803</v>
      </c>
      <c r="J221">
        <f>_xlfn.XLOOKUP(H221,'Place Profiles'!A:A,'Place Profiles'!C:C,"0")</f>
        <v>11.2555362617661</v>
      </c>
    </row>
    <row r="222" spans="1:10" x14ac:dyDescent="0.45">
      <c r="A222" t="str">
        <v>ID_00221</v>
      </c>
      <c r="B222" t="str">
        <v>1627/06/15</v>
      </c>
      <c r="C222" t="str">
        <v>Siena</v>
      </c>
      <c r="D222" s="10">
        <f>_xlfn.XLOOKUP(C222,'Place Profiles'!A:A,'Place Profiles'!B:B,"0")</f>
        <v>43.3184768539152</v>
      </c>
      <c r="E222" s="10">
        <f>_xlfn.XLOOKUP(C222,'Place Profiles'!A:A,'Place Profiles'!C:C,"0")</f>
        <v>11.3310792700061</v>
      </c>
      <c r="F222" t="str">
        <v>Benngucci, Flamminio</v>
      </c>
      <c r="G222" t="str">
        <v>von Habsburg, Maria Magdalena</v>
      </c>
      <c r="H222" t="str" cm="1">
        <f t="array" ref="H222">_xlfn.LET(
_xlpm.t,$G222,
_xlpm.cands,_xlfn._xlws.FILTER('Place Profiles'!$G$2:$G$929,'Place Profiles'!$G$2:$G$929&lt;&gt;""),
_xlpm.counts,COUNTIFS('Raw Data'!$G$2:$G$501,_xlpm.t,'Raw Data'!$F$2:$F$501,_xlpm.cands),
_xlpm.mx,MAX(_xlpm.counts),
IF(_xlpm.mx=0,0,_xlfn.TEXTJOIN(" / ",TRUE,_xlfn._xlws.FILTER(_xlpm.cands,_xlpm.counts=_xlpm.mx)))
)</f>
        <v>Firenze/Fiorenza</v>
      </c>
      <c r="I222">
        <f>_xlfn.XLOOKUP(H222,'Place Profiles'!A:A,'Place Profiles'!B:B,"0")</f>
        <v>43.773821664204803</v>
      </c>
      <c r="J222">
        <f>_xlfn.XLOOKUP(H222,'Place Profiles'!A:A,'Place Profiles'!C:C,"0")</f>
        <v>11.2555362617661</v>
      </c>
    </row>
    <row r="223" spans="1:10" x14ac:dyDescent="0.45">
      <c r="A223" t="str">
        <v>ID_00222</v>
      </c>
      <c r="B223" t="str">
        <v>1627/02/25</v>
      </c>
      <c r="C223" t="str">
        <v>Siena</v>
      </c>
      <c r="D223" s="10">
        <f>_xlfn.XLOOKUP(C223,'Place Profiles'!A:A,'Place Profiles'!B:B,"0")</f>
        <v>43.3184768539152</v>
      </c>
      <c r="E223" s="10">
        <f>_xlfn.XLOOKUP(C223,'Place Profiles'!A:A,'Place Profiles'!C:C,"0")</f>
        <v>11.3310792700061</v>
      </c>
      <c r="F223" t="str">
        <v>de' Medici, Caterina</v>
      </c>
      <c r="G223" t="str">
        <v>von Habsburg, Maria Magdalena</v>
      </c>
      <c r="H223" t="str" cm="1">
        <f t="array" ref="H223">_xlfn.LET(
_xlpm.t,$G223,
_xlpm.cands,_xlfn._xlws.FILTER('Place Profiles'!$G$2:$G$929,'Place Profiles'!$G$2:$G$929&lt;&gt;""),
_xlpm.counts,COUNTIFS('Raw Data'!$G$2:$G$501,_xlpm.t,'Raw Data'!$F$2:$F$501,_xlpm.cands),
_xlpm.mx,MAX(_xlpm.counts),
IF(_xlpm.mx=0,0,_xlfn.TEXTJOIN(" / ",TRUE,_xlfn._xlws.FILTER(_xlpm.cands,_xlpm.counts=_xlpm.mx)))
)</f>
        <v>Firenze/Fiorenza</v>
      </c>
      <c r="I223">
        <f>_xlfn.XLOOKUP(H223,'Place Profiles'!A:A,'Place Profiles'!B:B,"0")</f>
        <v>43.773821664204803</v>
      </c>
      <c r="J223">
        <f>_xlfn.XLOOKUP(H223,'Place Profiles'!A:A,'Place Profiles'!C:C,"0")</f>
        <v>11.2555362617661</v>
      </c>
    </row>
    <row r="224" spans="1:10" x14ac:dyDescent="0.45">
      <c r="A224" t="str">
        <v>ID_00223</v>
      </c>
      <c r="B224" t="str">
        <v>1618/02/27</v>
      </c>
      <c r="C224" t="str">
        <v>Siena</v>
      </c>
      <c r="D224" s="10">
        <f>_xlfn.XLOOKUP(C224,'Place Profiles'!A:A,'Place Profiles'!B:B,"0")</f>
        <v>43.3184768539152</v>
      </c>
      <c r="E224" s="10">
        <f>_xlfn.XLOOKUP(C224,'Place Profiles'!A:A,'Place Profiles'!C:C,"0")</f>
        <v>11.3310792700061</v>
      </c>
      <c r="F224" t="str">
        <v>Pallagrossa, Pietro</v>
      </c>
      <c r="G224" t="str">
        <v>de' Medici, Ferdinando II</v>
      </c>
      <c r="H224" cm="1">
        <f t="array" ref="H224">_xlfn.LET(
_xlpm.t,$G224,
_xlpm.cands,_xlfn._xlws.FILTER('Place Profiles'!$G$2:$G$929,'Place Profiles'!$G$2:$G$929&lt;&gt;""),
_xlpm.counts,COUNTIFS('Raw Data'!$G$2:$G$501,_xlpm.t,'Raw Data'!$F$2:$F$501,_xlpm.cands),
_xlpm.mx,MAX(_xlpm.counts),
IF(_xlpm.mx=0,0,_xlfn.TEXTJOIN(" / ",TRUE,_xlfn._xlws.FILTER(_xlpm.cands,_xlpm.counts=_xlpm.mx)))
)</f>
        <v>0</v>
      </c>
      <c r="I224" t="str">
        <f>_xlfn.XLOOKUP(H224,'Place Profiles'!A:A,'Place Profiles'!B:B,"0")</f>
        <v>0</v>
      </c>
      <c r="J224" t="str">
        <f>_xlfn.XLOOKUP(H224,'Place Profiles'!A:A,'Place Profiles'!C:C,"0")</f>
        <v>0</v>
      </c>
    </row>
    <row r="225" spans="1:10" x14ac:dyDescent="0.45">
      <c r="A225" t="str">
        <v>ID_00224</v>
      </c>
      <c r="B225" t="str">
        <v>1628/02/28</v>
      </c>
      <c r="C225" t="str">
        <v>Siena</v>
      </c>
      <c r="D225" s="10">
        <f>_xlfn.XLOOKUP(C225,'Place Profiles'!A:A,'Place Profiles'!B:B,"0")</f>
        <v>43.3184768539152</v>
      </c>
      <c r="E225" s="10">
        <f>_xlfn.XLOOKUP(C225,'Place Profiles'!A:A,'Place Profiles'!C:C,"0")</f>
        <v>11.3310792700061</v>
      </c>
      <c r="F225" t="str">
        <v>de' Medici, Caterina</v>
      </c>
      <c r="G225" t="str">
        <v>von Habsburg, Maria Magdalena</v>
      </c>
      <c r="H225" t="str" cm="1">
        <f t="array" ref="H225">_xlfn.LET(
_xlpm.t,$G225,
_xlpm.cands,_xlfn._xlws.FILTER('Place Profiles'!$G$2:$G$929,'Place Profiles'!$G$2:$G$929&lt;&gt;""),
_xlpm.counts,COUNTIFS('Raw Data'!$G$2:$G$501,_xlpm.t,'Raw Data'!$F$2:$F$501,_xlpm.cands),
_xlpm.mx,MAX(_xlpm.counts),
IF(_xlpm.mx=0,0,_xlfn.TEXTJOIN(" / ",TRUE,_xlfn._xlws.FILTER(_xlpm.cands,_xlpm.counts=_xlpm.mx)))
)</f>
        <v>Firenze/Fiorenza</v>
      </c>
      <c r="I225">
        <f>_xlfn.XLOOKUP(H225,'Place Profiles'!A:A,'Place Profiles'!B:B,"0")</f>
        <v>43.773821664204803</v>
      </c>
      <c r="J225">
        <f>_xlfn.XLOOKUP(H225,'Place Profiles'!A:A,'Place Profiles'!C:C,"0")</f>
        <v>11.2555362617661</v>
      </c>
    </row>
    <row r="226" spans="1:10" x14ac:dyDescent="0.45">
      <c r="A226" t="str">
        <v>ID_00225</v>
      </c>
      <c r="B226" t="str">
        <v>1618/02/27</v>
      </c>
      <c r="C226" t="str">
        <v>Siena</v>
      </c>
      <c r="D226" s="10">
        <f>_xlfn.XLOOKUP(C226,'Place Profiles'!A:A,'Place Profiles'!B:B,"0")</f>
        <v>43.3184768539152</v>
      </c>
      <c r="E226" s="10">
        <f>_xlfn.XLOOKUP(C226,'Place Profiles'!A:A,'Place Profiles'!C:C,"0")</f>
        <v>11.3310792700061</v>
      </c>
      <c r="F226" t="str">
        <v>Pallagrossa, Pietro</v>
      </c>
      <c r="G226" t="str">
        <v>von Habsburg, Maria Magdalena</v>
      </c>
      <c r="H226" t="str" cm="1">
        <f t="array" ref="H226">_xlfn.LET(
_xlpm.t,$G226,
_xlpm.cands,_xlfn._xlws.FILTER('Place Profiles'!$G$2:$G$929,'Place Profiles'!$G$2:$G$929&lt;&gt;""),
_xlpm.counts,COUNTIFS('Raw Data'!$G$2:$G$501,_xlpm.t,'Raw Data'!$F$2:$F$501,_xlpm.cands),
_xlpm.mx,MAX(_xlpm.counts),
IF(_xlpm.mx=0,0,_xlfn.TEXTJOIN(" / ",TRUE,_xlfn._xlws.FILTER(_xlpm.cands,_xlpm.counts=_xlpm.mx)))
)</f>
        <v>Firenze/Fiorenza</v>
      </c>
      <c r="I226">
        <f>_xlfn.XLOOKUP(H226,'Place Profiles'!A:A,'Place Profiles'!B:B,"0")</f>
        <v>43.773821664204803</v>
      </c>
      <c r="J226">
        <f>_xlfn.XLOOKUP(H226,'Place Profiles'!A:A,'Place Profiles'!C:C,"0")</f>
        <v>11.2555362617661</v>
      </c>
    </row>
    <row r="227" spans="1:10" x14ac:dyDescent="0.45">
      <c r="A227" t="str">
        <v>ID_00226</v>
      </c>
      <c r="B227" t="str">
        <v>1628/03/09</v>
      </c>
      <c r="C227" t="str">
        <v>Siena</v>
      </c>
      <c r="D227" s="10">
        <f>_xlfn.XLOOKUP(C227,'Place Profiles'!A:A,'Place Profiles'!B:B,"0")</f>
        <v>43.3184768539152</v>
      </c>
      <c r="E227" s="10">
        <f>_xlfn.XLOOKUP(C227,'Place Profiles'!A:A,'Place Profiles'!C:C,"0")</f>
        <v>11.3310792700061</v>
      </c>
      <c r="F227" t="str">
        <v>de' Medici, Caterina</v>
      </c>
      <c r="G227" t="str">
        <v>Cioli, Andrea</v>
      </c>
      <c r="H227" cm="1">
        <f t="array" ref="H227">_xlfn.LET(
_xlpm.t,$G227,
_xlpm.cands,_xlfn._xlws.FILTER('Place Profiles'!$G$2:$G$929,'Place Profiles'!$G$2:$G$929&lt;&gt;""),
_xlpm.counts,COUNTIFS('Raw Data'!$G$2:$G$501,_xlpm.t,'Raw Data'!$F$2:$F$501,_xlpm.cands),
_xlpm.mx,MAX(_xlpm.counts),
IF(_xlpm.mx=0,0,_xlfn.TEXTJOIN(" / ",TRUE,_xlfn._xlws.FILTER(_xlpm.cands,_xlpm.counts=_xlpm.mx)))
)</f>
        <v>0</v>
      </c>
      <c r="I227" t="str">
        <f>_xlfn.XLOOKUP(H227,'Place Profiles'!A:A,'Place Profiles'!B:B,"0")</f>
        <v>0</v>
      </c>
      <c r="J227" t="str">
        <f>_xlfn.XLOOKUP(H227,'Place Profiles'!A:A,'Place Profiles'!C:C,"0")</f>
        <v>0</v>
      </c>
    </row>
    <row r="228" spans="1:10" x14ac:dyDescent="0.45">
      <c r="A228" t="str">
        <v>ID_00227</v>
      </c>
      <c r="B228" t="str">
        <v>1628/03/02</v>
      </c>
      <c r="C228" t="str">
        <v>Siena</v>
      </c>
      <c r="D228" s="10">
        <f>_xlfn.XLOOKUP(C228,'Place Profiles'!A:A,'Place Profiles'!B:B,"0")</f>
        <v>43.3184768539152</v>
      </c>
      <c r="E228" s="10">
        <f>_xlfn.XLOOKUP(C228,'Place Profiles'!A:A,'Place Profiles'!C:C,"0")</f>
        <v>11.3310792700061</v>
      </c>
      <c r="F228" t="str">
        <v>de' Medici, Caterina</v>
      </c>
      <c r="G228" t="str">
        <v>von Habsburg, Maria Magdalena</v>
      </c>
      <c r="H228" t="str" cm="1">
        <f t="array" ref="H228">_xlfn.LET(
_xlpm.t,$G228,
_xlpm.cands,_xlfn._xlws.FILTER('Place Profiles'!$G$2:$G$929,'Place Profiles'!$G$2:$G$929&lt;&gt;""),
_xlpm.counts,COUNTIFS('Raw Data'!$G$2:$G$501,_xlpm.t,'Raw Data'!$F$2:$F$501,_xlpm.cands),
_xlpm.mx,MAX(_xlpm.counts),
IF(_xlpm.mx=0,0,_xlfn.TEXTJOIN(" / ",TRUE,_xlfn._xlws.FILTER(_xlpm.cands,_xlpm.counts=_xlpm.mx)))
)</f>
        <v>Firenze/Fiorenza</v>
      </c>
      <c r="I228">
        <f>_xlfn.XLOOKUP(H228,'Place Profiles'!A:A,'Place Profiles'!B:B,"0")</f>
        <v>43.773821664204803</v>
      </c>
      <c r="J228">
        <f>_xlfn.XLOOKUP(H228,'Place Profiles'!A:A,'Place Profiles'!C:C,"0")</f>
        <v>11.2555362617661</v>
      </c>
    </row>
    <row r="229" spans="1:10" x14ac:dyDescent="0.45">
      <c r="A229" t="str">
        <v>ID_00228</v>
      </c>
      <c r="B229" t="str">
        <v>1628/04/26</v>
      </c>
      <c r="C229" t="str">
        <v>Siena</v>
      </c>
      <c r="D229" s="10">
        <f>_xlfn.XLOOKUP(C229,'Place Profiles'!A:A,'Place Profiles'!B:B,"0")</f>
        <v>43.3184768539152</v>
      </c>
      <c r="E229" s="10">
        <f>_xlfn.XLOOKUP(C229,'Place Profiles'!A:A,'Place Profiles'!C:C,"0")</f>
        <v>11.3310792700061</v>
      </c>
      <c r="F229" t="str">
        <v>da Mota___, Fabritio</v>
      </c>
      <c r="G229" t="str">
        <v>von Habsburg, Maria Magdalena</v>
      </c>
      <c r="H229" t="str" cm="1">
        <f t="array" ref="H229">_xlfn.LET(
_xlpm.t,$G229,
_xlpm.cands,_xlfn._xlws.FILTER('Place Profiles'!$G$2:$G$929,'Place Profiles'!$G$2:$G$929&lt;&gt;""),
_xlpm.counts,COUNTIFS('Raw Data'!$G$2:$G$501,_xlpm.t,'Raw Data'!$F$2:$F$501,_xlpm.cands),
_xlpm.mx,MAX(_xlpm.counts),
IF(_xlpm.mx=0,0,_xlfn.TEXTJOIN(" / ",TRUE,_xlfn._xlws.FILTER(_xlpm.cands,_xlpm.counts=_xlpm.mx)))
)</f>
        <v>Firenze/Fiorenza</v>
      </c>
      <c r="I229">
        <f>_xlfn.XLOOKUP(H229,'Place Profiles'!A:A,'Place Profiles'!B:B,"0")</f>
        <v>43.773821664204803</v>
      </c>
      <c r="J229">
        <f>_xlfn.XLOOKUP(H229,'Place Profiles'!A:A,'Place Profiles'!C:C,"0")</f>
        <v>11.2555362617661</v>
      </c>
    </row>
    <row r="230" spans="1:10" x14ac:dyDescent="0.45">
      <c r="A230" t="str">
        <v>ID_00229</v>
      </c>
      <c r="B230" t="str">
        <v>1628/03/21</v>
      </c>
      <c r="C230" t="str">
        <v>Siena</v>
      </c>
      <c r="D230" s="10">
        <f>_xlfn.XLOOKUP(C230,'Place Profiles'!A:A,'Place Profiles'!B:B,"0")</f>
        <v>43.3184768539152</v>
      </c>
      <c r="E230" s="10">
        <f>_xlfn.XLOOKUP(C230,'Place Profiles'!A:A,'Place Profiles'!C:C,"0")</f>
        <v>11.3310792700061</v>
      </c>
      <c r="F230" t="str">
        <v>de' Medici, Caterina</v>
      </c>
      <c r="G230" t="str">
        <v>Unnamed</v>
      </c>
      <c r="H230" t="str" cm="1">
        <f t="array" ref="H230">_xlfn.LET(
_xlpm.t,$G230,
_xlpm.cands,_xlfn._xlws.FILTER('Place Profiles'!$G$2:$G$929,'Place Profiles'!$G$2:$G$929&lt;&gt;""),
_xlpm.counts,COUNTIFS('Raw Data'!$G$2:$G$501,_xlpm.t,'Raw Data'!$F$2:$F$501,_xlpm.cands),
_xlpm.mx,MAX(_xlpm.counts),
IF(_xlpm.mx=0,0,_xlfn.TEXTJOIN(" / ",TRUE,_xlfn._xlws.FILTER(_xlpm.cands,_xlpm.counts=_xlpm.mx)))
)</f>
        <v>Napoli</v>
      </c>
      <c r="I230">
        <f>_xlfn.XLOOKUP(H230,'Place Profiles'!A:A,'Place Profiles'!B:B,"0")</f>
        <v>40.848961755168702</v>
      </c>
      <c r="J230">
        <f>_xlfn.XLOOKUP(H230,'Place Profiles'!A:A,'Place Profiles'!C:C,"0")</f>
        <v>14.271792379340599</v>
      </c>
    </row>
    <row r="231" spans="1:10" x14ac:dyDescent="0.45">
      <c r="A231" t="str">
        <v>ID_00230</v>
      </c>
      <c r="B231" t="str">
        <v>1628/05/22</v>
      </c>
      <c r="C231" t="str">
        <v>Siena</v>
      </c>
      <c r="D231" s="10">
        <f>_xlfn.XLOOKUP(C231,'Place Profiles'!A:A,'Place Profiles'!B:B,"0")</f>
        <v>43.3184768539152</v>
      </c>
      <c r="E231" s="10">
        <f>_xlfn.XLOOKUP(C231,'Place Profiles'!A:A,'Place Profiles'!C:C,"0")</f>
        <v>11.3310792700061</v>
      </c>
      <c r="F231" t="str">
        <v>Guazzesi, Girolamo</v>
      </c>
      <c r="G231" t="str">
        <v>von Habsburg, Maria Magdalena</v>
      </c>
      <c r="H231" t="str" cm="1">
        <f t="array" ref="H231">_xlfn.LET(
_xlpm.t,$G231,
_xlpm.cands,_xlfn._xlws.FILTER('Place Profiles'!$G$2:$G$929,'Place Profiles'!$G$2:$G$929&lt;&gt;""),
_xlpm.counts,COUNTIFS('Raw Data'!$G$2:$G$501,_xlpm.t,'Raw Data'!$F$2:$F$501,_xlpm.cands),
_xlpm.mx,MAX(_xlpm.counts),
IF(_xlpm.mx=0,0,_xlfn.TEXTJOIN(" / ",TRUE,_xlfn._xlws.FILTER(_xlpm.cands,_xlpm.counts=_xlpm.mx)))
)</f>
        <v>Firenze/Fiorenza</v>
      </c>
      <c r="I231">
        <f>_xlfn.XLOOKUP(H231,'Place Profiles'!A:A,'Place Profiles'!B:B,"0")</f>
        <v>43.773821664204803</v>
      </c>
      <c r="J231">
        <f>_xlfn.XLOOKUP(H231,'Place Profiles'!A:A,'Place Profiles'!C:C,"0")</f>
        <v>11.2555362617661</v>
      </c>
    </row>
    <row r="232" spans="1:10" x14ac:dyDescent="0.45">
      <c r="A232" t="str">
        <v>ID_00231</v>
      </c>
      <c r="B232" t="str">
        <v>1628/03/27</v>
      </c>
      <c r="C232" t="str">
        <v>Siena</v>
      </c>
      <c r="D232" s="10">
        <f>_xlfn.XLOOKUP(C232,'Place Profiles'!A:A,'Place Profiles'!B:B,"0")</f>
        <v>43.3184768539152</v>
      </c>
      <c r="E232" s="10">
        <f>_xlfn.XLOOKUP(C232,'Place Profiles'!A:A,'Place Profiles'!C:C,"0")</f>
        <v>11.3310792700061</v>
      </c>
      <c r="F232" t="str">
        <v>de' Medici, Caterina</v>
      </c>
      <c r="G232" t="str">
        <v>de' Medici, Ferdinando II</v>
      </c>
      <c r="H232" cm="1">
        <f t="array" ref="H232">_xlfn.LET(
_xlpm.t,$G232,
_xlpm.cands,_xlfn._xlws.FILTER('Place Profiles'!$G$2:$G$929,'Place Profiles'!$G$2:$G$929&lt;&gt;""),
_xlpm.counts,COUNTIFS('Raw Data'!$G$2:$G$501,_xlpm.t,'Raw Data'!$F$2:$F$501,_xlpm.cands),
_xlpm.mx,MAX(_xlpm.counts),
IF(_xlpm.mx=0,0,_xlfn.TEXTJOIN(" / ",TRUE,_xlfn._xlws.FILTER(_xlpm.cands,_xlpm.counts=_xlpm.mx)))
)</f>
        <v>0</v>
      </c>
      <c r="I232" t="str">
        <f>_xlfn.XLOOKUP(H232,'Place Profiles'!A:A,'Place Profiles'!B:B,"0")</f>
        <v>0</v>
      </c>
      <c r="J232" t="str">
        <f>_xlfn.XLOOKUP(H232,'Place Profiles'!A:A,'Place Profiles'!C:C,"0")</f>
        <v>0</v>
      </c>
    </row>
    <row r="233" spans="1:10" x14ac:dyDescent="0.45">
      <c r="A233" t="str">
        <v>ID_00232</v>
      </c>
      <c r="B233" t="str">
        <v>1628/06/21</v>
      </c>
      <c r="C233" t="str">
        <v>Siena</v>
      </c>
      <c r="D233" s="10">
        <f>_xlfn.XLOOKUP(C233,'Place Profiles'!A:A,'Place Profiles'!B:B,"0")</f>
        <v>43.3184768539152</v>
      </c>
      <c r="E233" s="10">
        <f>_xlfn.XLOOKUP(C233,'Place Profiles'!A:A,'Place Profiles'!C:C,"0")</f>
        <v>11.3310792700061</v>
      </c>
      <c r="F233" t="str">
        <v>Avarigi, Lodovico</v>
      </c>
      <c r="G233" t="str">
        <v>di Lorena, Cristina</v>
      </c>
      <c r="H233" t="str" cm="1">
        <f t="array" ref="H233">_xlfn.LET(
_xlpm.t,$G233,
_xlpm.cands,_xlfn._xlws.FILTER('Place Profiles'!$G$2:$G$929,'Place Profiles'!$G$2:$G$929&lt;&gt;""),
_xlpm.counts,COUNTIFS('Raw Data'!$G$2:$G$501,_xlpm.t,'Raw Data'!$F$2:$F$501,_xlpm.cands),
_xlpm.mx,MAX(_xlpm.counts),
IF(_xlpm.mx=0,0,_xlfn.TEXTJOIN(" / ",TRUE,_xlfn._xlws.FILTER(_xlpm.cands,_xlpm.counts=_xlpm.mx)))
)</f>
        <v>Firenze/Fiorenza</v>
      </c>
      <c r="I233">
        <f>_xlfn.XLOOKUP(H233,'Place Profiles'!A:A,'Place Profiles'!B:B,"0")</f>
        <v>43.773821664204803</v>
      </c>
      <c r="J233">
        <f>_xlfn.XLOOKUP(H233,'Place Profiles'!A:A,'Place Profiles'!C:C,"0")</f>
        <v>11.2555362617661</v>
      </c>
    </row>
    <row r="234" spans="1:10" x14ac:dyDescent="0.45">
      <c r="A234" t="str">
        <v>ID_00233</v>
      </c>
      <c r="B234" t="str">
        <v>1628/03/18</v>
      </c>
      <c r="C234" t="str">
        <v>Mantova</v>
      </c>
      <c r="D234" s="10">
        <f>_xlfn.XLOOKUP(C234,'Place Profiles'!A:A,'Place Profiles'!B:B,"0")</f>
        <v>45.156437254514501</v>
      </c>
      <c r="E234" s="10">
        <f>_xlfn.XLOOKUP(C234,'Place Profiles'!A:A,'Place Profiles'!C:C,"0")</f>
        <v>10.7914436839782</v>
      </c>
      <c r="F234" t="str">
        <v>Unnamed</v>
      </c>
      <c r="G234" t="str">
        <v>de' Medici, Caterina</v>
      </c>
      <c r="H234" t="str" cm="1">
        <f t="array" ref="H234">_xlfn.LET(
_xlpm.t,$G234,
_xlpm.cands,_xlfn._xlws.FILTER('Place Profiles'!$G$2:$G$929,'Place Profiles'!$G$2:$G$929&lt;&gt;""),
_xlpm.counts,COUNTIFS('Raw Data'!$G$2:$G$501,_xlpm.t,'Raw Data'!$F$2:$F$501,_xlpm.cands),
_xlpm.mx,MAX(_xlpm.counts),
IF(_xlpm.mx=0,0,_xlfn.TEXTJOIN(" / ",TRUE,_xlfn._xlws.FILTER(_xlpm.cands,_xlpm.counts=_xlpm.mx)))
)</f>
        <v>Siena</v>
      </c>
      <c r="I234">
        <f>_xlfn.XLOOKUP(H234,'Place Profiles'!A:A,'Place Profiles'!B:B,"0")</f>
        <v>43.3184768539152</v>
      </c>
      <c r="J234">
        <f>_xlfn.XLOOKUP(H234,'Place Profiles'!A:A,'Place Profiles'!C:C,"0")</f>
        <v>11.3310792700061</v>
      </c>
    </row>
    <row r="235" spans="1:10" x14ac:dyDescent="0.45">
      <c r="A235" t="str">
        <v>ID_00234</v>
      </c>
      <c r="B235" t="str">
        <v>1628/06/21</v>
      </c>
      <c r="C235" t="str">
        <v>Siena</v>
      </c>
      <c r="D235" s="10">
        <f>_xlfn.XLOOKUP(C235,'Place Profiles'!A:A,'Place Profiles'!B:B,"0")</f>
        <v>43.3184768539152</v>
      </c>
      <c r="E235" s="10">
        <f>_xlfn.XLOOKUP(C235,'Place Profiles'!A:A,'Place Profiles'!C:C,"0")</f>
        <v>11.3310792700061</v>
      </c>
      <c r="F235" t="str">
        <v>Avarigi, Lodovico</v>
      </c>
      <c r="G235" t="str">
        <v>von Habsburg, Maria Magdalena</v>
      </c>
      <c r="H235" t="str" cm="1">
        <f t="array" ref="H235">_xlfn.LET(
_xlpm.t,$G235,
_xlpm.cands,_xlfn._xlws.FILTER('Place Profiles'!$G$2:$G$929,'Place Profiles'!$G$2:$G$929&lt;&gt;""),
_xlpm.counts,COUNTIFS('Raw Data'!$G$2:$G$501,_xlpm.t,'Raw Data'!$F$2:$F$501,_xlpm.cands),
_xlpm.mx,MAX(_xlpm.counts),
IF(_xlpm.mx=0,0,_xlfn.TEXTJOIN(" / ",TRUE,_xlfn._xlws.FILTER(_xlpm.cands,_xlpm.counts=_xlpm.mx)))
)</f>
        <v>Firenze/Fiorenza</v>
      </c>
      <c r="I235">
        <f>_xlfn.XLOOKUP(H235,'Place Profiles'!A:A,'Place Profiles'!B:B,"0")</f>
        <v>43.773821664204803</v>
      </c>
      <c r="J235">
        <f>_xlfn.XLOOKUP(H235,'Place Profiles'!A:A,'Place Profiles'!C:C,"0")</f>
        <v>11.2555362617661</v>
      </c>
    </row>
    <row r="236" spans="1:10" x14ac:dyDescent="0.45">
      <c r="A236" t="str">
        <v>ID_00235</v>
      </c>
      <c r="B236" t="str">
        <v>1628/03/27</v>
      </c>
      <c r="C236" t="str">
        <v>Siena</v>
      </c>
      <c r="D236" s="10">
        <f>_xlfn.XLOOKUP(C236,'Place Profiles'!A:A,'Place Profiles'!B:B,"0")</f>
        <v>43.3184768539152</v>
      </c>
      <c r="E236" s="10">
        <f>_xlfn.XLOOKUP(C236,'Place Profiles'!A:A,'Place Profiles'!C:C,"0")</f>
        <v>11.3310792700061</v>
      </c>
      <c r="F236" t="str">
        <v>de' Medici, Caterina</v>
      </c>
      <c r="G236" t="str">
        <v>von Habsburg, Maria Magdalena</v>
      </c>
      <c r="H236" t="str" cm="1">
        <f t="array" ref="H236">_xlfn.LET(
_xlpm.t,$G236,
_xlpm.cands,_xlfn._xlws.FILTER('Place Profiles'!$G$2:$G$929,'Place Profiles'!$G$2:$G$929&lt;&gt;""),
_xlpm.counts,COUNTIFS('Raw Data'!$G$2:$G$501,_xlpm.t,'Raw Data'!$F$2:$F$501,_xlpm.cands),
_xlpm.mx,MAX(_xlpm.counts),
IF(_xlpm.mx=0,0,_xlfn.TEXTJOIN(" / ",TRUE,_xlfn._xlws.FILTER(_xlpm.cands,_xlpm.counts=_xlpm.mx)))
)</f>
        <v>Firenze/Fiorenza</v>
      </c>
      <c r="I236">
        <f>_xlfn.XLOOKUP(H236,'Place Profiles'!A:A,'Place Profiles'!B:B,"0")</f>
        <v>43.773821664204803</v>
      </c>
      <c r="J236">
        <f>_xlfn.XLOOKUP(H236,'Place Profiles'!A:A,'Place Profiles'!C:C,"0")</f>
        <v>11.2555362617661</v>
      </c>
    </row>
    <row r="237" spans="1:10" x14ac:dyDescent="0.45">
      <c r="A237" t="str">
        <v>ID_00236</v>
      </c>
      <c r="B237" t="str">
        <v>1628/06/21</v>
      </c>
      <c r="C237" t="str">
        <v>Siena</v>
      </c>
      <c r="D237" s="10">
        <f>_xlfn.XLOOKUP(C237,'Place Profiles'!A:A,'Place Profiles'!B:B,"0")</f>
        <v>43.3184768539152</v>
      </c>
      <c r="E237" s="10">
        <f>_xlfn.XLOOKUP(C237,'Place Profiles'!A:A,'Place Profiles'!C:C,"0")</f>
        <v>11.3310792700061</v>
      </c>
      <c r="F237" t="str">
        <v>Avarigi, Lodovico</v>
      </c>
      <c r="G237" t="str">
        <v>de' Medici, Ferdinando II</v>
      </c>
      <c r="H237" cm="1">
        <f t="array" ref="H237">_xlfn.LET(
_xlpm.t,$G237,
_xlpm.cands,_xlfn._xlws.FILTER('Place Profiles'!$G$2:$G$929,'Place Profiles'!$G$2:$G$929&lt;&gt;""),
_xlpm.counts,COUNTIFS('Raw Data'!$G$2:$G$501,_xlpm.t,'Raw Data'!$F$2:$F$501,_xlpm.cands),
_xlpm.mx,MAX(_xlpm.counts),
IF(_xlpm.mx=0,0,_xlfn.TEXTJOIN(" / ",TRUE,_xlfn._xlws.FILTER(_xlpm.cands,_xlpm.counts=_xlpm.mx)))
)</f>
        <v>0</v>
      </c>
      <c r="I237" t="str">
        <f>_xlfn.XLOOKUP(H237,'Place Profiles'!A:A,'Place Profiles'!B:B,"0")</f>
        <v>0</v>
      </c>
      <c r="J237" t="str">
        <f>_xlfn.XLOOKUP(H237,'Place Profiles'!A:A,'Place Profiles'!C:C,"0")</f>
        <v>0</v>
      </c>
    </row>
    <row r="238" spans="1:10" x14ac:dyDescent="0.45">
      <c r="A238" t="str">
        <v>ID_00237</v>
      </c>
      <c r="B238" t="str">
        <v>1622/05/23</v>
      </c>
      <c r="C238" t="str">
        <v>Siena</v>
      </c>
      <c r="D238" s="10">
        <f>_xlfn.XLOOKUP(C238,'Place Profiles'!A:A,'Place Profiles'!B:B,"0")</f>
        <v>43.3184768539152</v>
      </c>
      <c r="E238" s="10">
        <f>_xlfn.XLOOKUP(C238,'Place Profiles'!A:A,'Place Profiles'!C:C,"0")</f>
        <v>11.3310792700061</v>
      </c>
      <c r="F238" t="str">
        <v>Colomba</v>
      </c>
      <c r="G238" t="str">
        <v>von Habsburg, Maria Magdalena</v>
      </c>
      <c r="H238" t="str" cm="1">
        <f t="array" ref="H238">_xlfn.LET(
_xlpm.t,$G238,
_xlpm.cands,_xlfn._xlws.FILTER('Place Profiles'!$G$2:$G$929,'Place Profiles'!$G$2:$G$929&lt;&gt;""),
_xlpm.counts,COUNTIFS('Raw Data'!$G$2:$G$501,_xlpm.t,'Raw Data'!$F$2:$F$501,_xlpm.cands),
_xlpm.mx,MAX(_xlpm.counts),
IF(_xlpm.mx=0,0,_xlfn.TEXTJOIN(" / ",TRUE,_xlfn._xlws.FILTER(_xlpm.cands,_xlpm.counts=_xlpm.mx)))
)</f>
        <v>Firenze/Fiorenza</v>
      </c>
      <c r="I238">
        <f>_xlfn.XLOOKUP(H238,'Place Profiles'!A:A,'Place Profiles'!B:B,"0")</f>
        <v>43.773821664204803</v>
      </c>
      <c r="J238">
        <f>_xlfn.XLOOKUP(H238,'Place Profiles'!A:A,'Place Profiles'!C:C,"0")</f>
        <v>11.2555362617661</v>
      </c>
    </row>
    <row r="239" spans="1:10" x14ac:dyDescent="0.45">
      <c r="A239" t="str">
        <v>ID_00238</v>
      </c>
      <c r="B239" t="str">
        <v>1628/04/11</v>
      </c>
      <c r="C239" t="str">
        <v>Siena</v>
      </c>
      <c r="D239" s="10">
        <f>_xlfn.XLOOKUP(C239,'Place Profiles'!A:A,'Place Profiles'!B:B,"0")</f>
        <v>43.3184768539152</v>
      </c>
      <c r="E239" s="10">
        <f>_xlfn.XLOOKUP(C239,'Place Profiles'!A:A,'Place Profiles'!C:C,"0")</f>
        <v>11.3310792700061</v>
      </c>
      <c r="F239" t="str">
        <v>de' Medici, Caterina</v>
      </c>
      <c r="G239" t="str">
        <v>di Lorena, Cristina</v>
      </c>
      <c r="H239" t="str" cm="1">
        <f t="array" ref="H239">_xlfn.LET(
_xlpm.t,$G239,
_xlpm.cands,_xlfn._xlws.FILTER('Place Profiles'!$G$2:$G$929,'Place Profiles'!$G$2:$G$929&lt;&gt;""),
_xlpm.counts,COUNTIFS('Raw Data'!$G$2:$G$501,_xlpm.t,'Raw Data'!$F$2:$F$501,_xlpm.cands),
_xlpm.mx,MAX(_xlpm.counts),
IF(_xlpm.mx=0,0,_xlfn.TEXTJOIN(" / ",TRUE,_xlfn._xlws.FILTER(_xlpm.cands,_xlpm.counts=_xlpm.mx)))
)</f>
        <v>Firenze/Fiorenza</v>
      </c>
      <c r="I239">
        <f>_xlfn.XLOOKUP(H239,'Place Profiles'!A:A,'Place Profiles'!B:B,"0")</f>
        <v>43.773821664204803</v>
      </c>
      <c r="J239">
        <f>_xlfn.XLOOKUP(H239,'Place Profiles'!A:A,'Place Profiles'!C:C,"0")</f>
        <v>11.2555362617661</v>
      </c>
    </row>
    <row r="240" spans="1:10" x14ac:dyDescent="0.45">
      <c r="A240" t="str">
        <v>ID_00239</v>
      </c>
      <c r="B240" t="str">
        <v>1628/07/11</v>
      </c>
      <c r="C240" t="str">
        <v>Siena</v>
      </c>
      <c r="D240" s="10">
        <f>_xlfn.XLOOKUP(C240,'Place Profiles'!A:A,'Place Profiles'!B:B,"0")</f>
        <v>43.3184768539152</v>
      </c>
      <c r="E240" s="10">
        <f>_xlfn.XLOOKUP(C240,'Place Profiles'!A:A,'Place Profiles'!C:C,"0")</f>
        <v>11.3310792700061</v>
      </c>
      <c r="F240" t="str">
        <v>Benngucci, Flamminio</v>
      </c>
      <c r="G240" t="str">
        <v>de' Medici, Ferdinando II</v>
      </c>
      <c r="H240" cm="1">
        <f t="array" ref="H240">_xlfn.LET(
_xlpm.t,$G240,
_xlpm.cands,_xlfn._xlws.FILTER('Place Profiles'!$G$2:$G$929,'Place Profiles'!$G$2:$G$929&lt;&gt;""),
_xlpm.counts,COUNTIFS('Raw Data'!$G$2:$G$501,_xlpm.t,'Raw Data'!$F$2:$F$501,_xlpm.cands),
_xlpm.mx,MAX(_xlpm.counts),
IF(_xlpm.mx=0,0,_xlfn.TEXTJOIN(" / ",TRUE,_xlfn._xlws.FILTER(_xlpm.cands,_xlpm.counts=_xlpm.mx)))
)</f>
        <v>0</v>
      </c>
      <c r="I240" t="str">
        <f>_xlfn.XLOOKUP(H240,'Place Profiles'!A:A,'Place Profiles'!B:B,"0")</f>
        <v>0</v>
      </c>
      <c r="J240" t="str">
        <f>_xlfn.XLOOKUP(H240,'Place Profiles'!A:A,'Place Profiles'!C:C,"0")</f>
        <v>0</v>
      </c>
    </row>
    <row r="241" spans="1:10" x14ac:dyDescent="0.45">
      <c r="A241" t="str">
        <v>ID_00240</v>
      </c>
      <c r="B241" t="str">
        <v>1628/04/17</v>
      </c>
      <c r="C241" t="str">
        <v>Siena</v>
      </c>
      <c r="D241" s="10">
        <f>_xlfn.XLOOKUP(C241,'Place Profiles'!A:A,'Place Profiles'!B:B,"0")</f>
        <v>43.3184768539152</v>
      </c>
      <c r="E241" s="10">
        <f>_xlfn.XLOOKUP(C241,'Place Profiles'!A:A,'Place Profiles'!C:C,"0")</f>
        <v>11.3310792700061</v>
      </c>
      <c r="F241" t="str">
        <v>de' Medici, Caterina</v>
      </c>
      <c r="G241" t="str">
        <v>de' Medici, Ferdinando II</v>
      </c>
      <c r="H241" cm="1">
        <f t="array" ref="H241">_xlfn.LET(
_xlpm.t,$G241,
_xlpm.cands,_xlfn._xlws.FILTER('Place Profiles'!$G$2:$G$929,'Place Profiles'!$G$2:$G$929&lt;&gt;""),
_xlpm.counts,COUNTIFS('Raw Data'!$G$2:$G$501,_xlpm.t,'Raw Data'!$F$2:$F$501,_xlpm.cands),
_xlpm.mx,MAX(_xlpm.counts),
IF(_xlpm.mx=0,0,_xlfn.TEXTJOIN(" / ",TRUE,_xlfn._xlws.FILTER(_xlpm.cands,_xlpm.counts=_xlpm.mx)))
)</f>
        <v>0</v>
      </c>
      <c r="I241" t="str">
        <f>_xlfn.XLOOKUP(H241,'Place Profiles'!A:A,'Place Profiles'!B:B,"0")</f>
        <v>0</v>
      </c>
      <c r="J241" t="str">
        <f>_xlfn.XLOOKUP(H241,'Place Profiles'!A:A,'Place Profiles'!C:C,"0")</f>
        <v>0</v>
      </c>
    </row>
    <row r="242" spans="1:10" x14ac:dyDescent="0.45">
      <c r="A242" t="str">
        <v>ID_00241</v>
      </c>
      <c r="B242" t="str">
        <v>1628/07/18</v>
      </c>
      <c r="C242" t="str">
        <v>Siena</v>
      </c>
      <c r="D242" s="10">
        <f>_xlfn.XLOOKUP(C242,'Place Profiles'!A:A,'Place Profiles'!B:B,"0")</f>
        <v>43.3184768539152</v>
      </c>
      <c r="E242" s="10">
        <f>_xlfn.XLOOKUP(C242,'Place Profiles'!A:A,'Place Profiles'!C:C,"0")</f>
        <v>11.3310792700061</v>
      </c>
      <c r="F242" t="str">
        <v>Avarigi, Lodovico</v>
      </c>
      <c r="G242" t="str">
        <v>de' Medici, ?</v>
      </c>
      <c r="H242" cm="1">
        <f t="array" ref="H242">_xlfn.LET(
_xlpm.t,$G242,
_xlpm.cands,_xlfn._xlws.FILTER('Place Profiles'!$G$2:$G$929,'Place Profiles'!$G$2:$G$929&lt;&gt;""),
_xlpm.counts,COUNTIFS('Raw Data'!$G$2:$G$501,_xlpm.t,'Raw Data'!$F$2:$F$501,_xlpm.cands),
_xlpm.mx,MAX(_xlpm.counts),
IF(_xlpm.mx=0,0,_xlfn.TEXTJOIN(" / ",TRUE,_xlfn._xlws.FILTER(_xlpm.cands,_xlpm.counts=_xlpm.mx)))
)</f>
        <v>0</v>
      </c>
      <c r="I242" t="str">
        <f>_xlfn.XLOOKUP(H242,'Place Profiles'!A:A,'Place Profiles'!B:B,"0")</f>
        <v>0</v>
      </c>
      <c r="J242" t="str">
        <f>_xlfn.XLOOKUP(H242,'Place Profiles'!A:A,'Place Profiles'!C:C,"0")</f>
        <v>0</v>
      </c>
    </row>
    <row r="243" spans="1:10" x14ac:dyDescent="0.45">
      <c r="A243" t="str">
        <v>ID_00242</v>
      </c>
      <c r="B243" t="str">
        <v>1628/04/22</v>
      </c>
      <c r="C243" t="str">
        <v>Siena</v>
      </c>
      <c r="D243" s="10">
        <f>_xlfn.XLOOKUP(C243,'Place Profiles'!A:A,'Place Profiles'!B:B,"0")</f>
        <v>43.3184768539152</v>
      </c>
      <c r="E243" s="10">
        <f>_xlfn.XLOOKUP(C243,'Place Profiles'!A:A,'Place Profiles'!C:C,"0")</f>
        <v>11.3310792700061</v>
      </c>
      <c r="F243" t="str">
        <v>de' Medici, Caterina</v>
      </c>
      <c r="G243" t="str">
        <v>von Habsburg, Maria Magdalena</v>
      </c>
      <c r="H243" t="str" cm="1">
        <f t="array" ref="H243">_xlfn.LET(
_xlpm.t,$G243,
_xlpm.cands,_xlfn._xlws.FILTER('Place Profiles'!$G$2:$G$929,'Place Profiles'!$G$2:$G$929&lt;&gt;""),
_xlpm.counts,COUNTIFS('Raw Data'!$G$2:$G$501,_xlpm.t,'Raw Data'!$F$2:$F$501,_xlpm.cands),
_xlpm.mx,MAX(_xlpm.counts),
IF(_xlpm.mx=0,0,_xlfn.TEXTJOIN(" / ",TRUE,_xlfn._xlws.FILTER(_xlpm.cands,_xlpm.counts=_xlpm.mx)))
)</f>
        <v>Firenze/Fiorenza</v>
      </c>
      <c r="I243">
        <f>_xlfn.XLOOKUP(H243,'Place Profiles'!A:A,'Place Profiles'!B:B,"0")</f>
        <v>43.773821664204803</v>
      </c>
      <c r="J243">
        <f>_xlfn.XLOOKUP(H243,'Place Profiles'!A:A,'Place Profiles'!C:C,"0")</f>
        <v>11.2555362617661</v>
      </c>
    </row>
    <row r="244" spans="1:10" x14ac:dyDescent="0.45">
      <c r="A244" t="str">
        <v>ID_00243</v>
      </c>
      <c r="B244" t="str">
        <v>1628/07/18</v>
      </c>
      <c r="C244" t="str">
        <v>Siena</v>
      </c>
      <c r="D244" s="10">
        <f>_xlfn.XLOOKUP(C244,'Place Profiles'!A:A,'Place Profiles'!B:B,"0")</f>
        <v>43.3184768539152</v>
      </c>
      <c r="E244" s="10">
        <f>_xlfn.XLOOKUP(C244,'Place Profiles'!A:A,'Place Profiles'!C:C,"0")</f>
        <v>11.3310792700061</v>
      </c>
      <c r="F244" t="str">
        <v>Avarigi, Lodovico</v>
      </c>
      <c r="G244" t="str">
        <v>von Habsburg, Maria Magdalena</v>
      </c>
      <c r="H244" t="str" cm="1">
        <f t="array" ref="H244">_xlfn.LET(
_xlpm.t,$G244,
_xlpm.cands,_xlfn._xlws.FILTER('Place Profiles'!$G$2:$G$929,'Place Profiles'!$G$2:$G$929&lt;&gt;""),
_xlpm.counts,COUNTIFS('Raw Data'!$G$2:$G$501,_xlpm.t,'Raw Data'!$F$2:$F$501,_xlpm.cands),
_xlpm.mx,MAX(_xlpm.counts),
IF(_xlpm.mx=0,0,_xlfn.TEXTJOIN(" / ",TRUE,_xlfn._xlws.FILTER(_xlpm.cands,_xlpm.counts=_xlpm.mx)))
)</f>
        <v>Firenze/Fiorenza</v>
      </c>
      <c r="I244">
        <f>_xlfn.XLOOKUP(H244,'Place Profiles'!A:A,'Place Profiles'!B:B,"0")</f>
        <v>43.773821664204803</v>
      </c>
      <c r="J244">
        <f>_xlfn.XLOOKUP(H244,'Place Profiles'!A:A,'Place Profiles'!C:C,"0")</f>
        <v>11.2555362617661</v>
      </c>
    </row>
    <row r="245" spans="1:10" x14ac:dyDescent="0.45">
      <c r="A245" t="str">
        <v>ID_00244</v>
      </c>
      <c r="B245" t="str">
        <v>1628/04/25</v>
      </c>
      <c r="C245" t="str">
        <v>Siena</v>
      </c>
      <c r="D245" s="10">
        <f>_xlfn.XLOOKUP(C245,'Place Profiles'!A:A,'Place Profiles'!B:B,"0")</f>
        <v>43.3184768539152</v>
      </c>
      <c r="E245" s="10">
        <f>_xlfn.XLOOKUP(C245,'Place Profiles'!A:A,'Place Profiles'!C:C,"0")</f>
        <v>11.3310792700061</v>
      </c>
      <c r="F245" t="str">
        <v>de' Medici, Caterina</v>
      </c>
      <c r="G245" t="str">
        <v>von Habsburg, Maria Magdalena</v>
      </c>
      <c r="H245" t="str" cm="1">
        <f t="array" ref="H245">_xlfn.LET(
_xlpm.t,$G245,
_xlpm.cands,_xlfn._xlws.FILTER('Place Profiles'!$G$2:$G$929,'Place Profiles'!$G$2:$G$929&lt;&gt;""),
_xlpm.counts,COUNTIFS('Raw Data'!$G$2:$G$501,_xlpm.t,'Raw Data'!$F$2:$F$501,_xlpm.cands),
_xlpm.mx,MAX(_xlpm.counts),
IF(_xlpm.mx=0,0,_xlfn.TEXTJOIN(" / ",TRUE,_xlfn._xlws.FILTER(_xlpm.cands,_xlpm.counts=_xlpm.mx)))
)</f>
        <v>Firenze/Fiorenza</v>
      </c>
      <c r="I245">
        <f>_xlfn.XLOOKUP(H245,'Place Profiles'!A:A,'Place Profiles'!B:B,"0")</f>
        <v>43.773821664204803</v>
      </c>
      <c r="J245">
        <f>_xlfn.XLOOKUP(H245,'Place Profiles'!A:A,'Place Profiles'!C:C,"0")</f>
        <v>11.2555362617661</v>
      </c>
    </row>
    <row r="246" spans="1:10" x14ac:dyDescent="0.45">
      <c r="A246" t="str">
        <v>ID_00245</v>
      </c>
      <c r="B246" t="str">
        <v>1628/07/18</v>
      </c>
      <c r="C246" t="str">
        <v>Siena</v>
      </c>
      <c r="D246" s="10">
        <f>_xlfn.XLOOKUP(C246,'Place Profiles'!A:A,'Place Profiles'!B:B,"0")</f>
        <v>43.3184768539152</v>
      </c>
      <c r="E246" s="10">
        <f>_xlfn.XLOOKUP(C246,'Place Profiles'!A:A,'Place Profiles'!C:C,"0")</f>
        <v>11.3310792700061</v>
      </c>
      <c r="F246" t="str">
        <v>Avarigi, Lodovico</v>
      </c>
      <c r="G246" t="str">
        <v>de' Medici, ?</v>
      </c>
      <c r="H246" cm="1">
        <f t="array" ref="H246">_xlfn.LET(
_xlpm.t,$G246,
_xlpm.cands,_xlfn._xlws.FILTER('Place Profiles'!$G$2:$G$929,'Place Profiles'!$G$2:$G$929&lt;&gt;""),
_xlpm.counts,COUNTIFS('Raw Data'!$G$2:$G$501,_xlpm.t,'Raw Data'!$F$2:$F$501,_xlpm.cands),
_xlpm.mx,MAX(_xlpm.counts),
IF(_xlpm.mx=0,0,_xlfn.TEXTJOIN(" / ",TRUE,_xlfn._xlws.FILTER(_xlpm.cands,_xlpm.counts=_xlpm.mx)))
)</f>
        <v>0</v>
      </c>
      <c r="I246" t="str">
        <f>_xlfn.XLOOKUP(H246,'Place Profiles'!A:A,'Place Profiles'!B:B,"0")</f>
        <v>0</v>
      </c>
      <c r="J246" t="str">
        <f>_xlfn.XLOOKUP(H246,'Place Profiles'!A:A,'Place Profiles'!C:C,"0")</f>
        <v>0</v>
      </c>
    </row>
    <row r="247" spans="1:10" x14ac:dyDescent="0.45">
      <c r="A247" t="str">
        <v>ID_00246</v>
      </c>
      <c r="B247" t="str">
        <v>1628/04/29</v>
      </c>
      <c r="C247" t="str">
        <v>Siena</v>
      </c>
      <c r="D247" s="10">
        <f>_xlfn.XLOOKUP(C247,'Place Profiles'!A:A,'Place Profiles'!B:B,"0")</f>
        <v>43.3184768539152</v>
      </c>
      <c r="E247" s="10">
        <f>_xlfn.XLOOKUP(C247,'Place Profiles'!A:A,'Place Profiles'!C:C,"0")</f>
        <v>11.3310792700061</v>
      </c>
      <c r="F247" t="str">
        <v>de' Medici, Caterina</v>
      </c>
      <c r="G247" t="str">
        <v>von Habsburg, Maria Magdalena</v>
      </c>
      <c r="H247" t="str" cm="1">
        <f t="array" ref="H247">_xlfn.LET(
_xlpm.t,$G247,
_xlpm.cands,_xlfn._xlws.FILTER('Place Profiles'!$G$2:$G$929,'Place Profiles'!$G$2:$G$929&lt;&gt;""),
_xlpm.counts,COUNTIFS('Raw Data'!$G$2:$G$501,_xlpm.t,'Raw Data'!$F$2:$F$501,_xlpm.cands),
_xlpm.mx,MAX(_xlpm.counts),
IF(_xlpm.mx=0,0,_xlfn.TEXTJOIN(" / ",TRUE,_xlfn._xlws.FILTER(_xlpm.cands,_xlpm.counts=_xlpm.mx)))
)</f>
        <v>Firenze/Fiorenza</v>
      </c>
      <c r="I247">
        <f>_xlfn.XLOOKUP(H247,'Place Profiles'!A:A,'Place Profiles'!B:B,"0")</f>
        <v>43.773821664204803</v>
      </c>
      <c r="J247">
        <f>_xlfn.XLOOKUP(H247,'Place Profiles'!A:A,'Place Profiles'!C:C,"0")</f>
        <v>11.2555362617661</v>
      </c>
    </row>
    <row r="248" spans="1:10" x14ac:dyDescent="0.45">
      <c r="A248" t="str">
        <v>ID_00247</v>
      </c>
      <c r="B248" t="str">
        <v>1628/07/18</v>
      </c>
      <c r="C248" t="str">
        <v>Siena</v>
      </c>
      <c r="D248" s="10">
        <f>_xlfn.XLOOKUP(C248,'Place Profiles'!A:A,'Place Profiles'!B:B,"0")</f>
        <v>43.3184768539152</v>
      </c>
      <c r="E248" s="10">
        <f>_xlfn.XLOOKUP(C248,'Place Profiles'!A:A,'Place Profiles'!C:C,"0")</f>
        <v>11.3310792700061</v>
      </c>
      <c r="F248" t="str">
        <v>Avarigi, Lodovico</v>
      </c>
      <c r="G248" t="str">
        <v>de' Medici, ?</v>
      </c>
      <c r="H248" cm="1">
        <f t="array" ref="H248">_xlfn.LET(
_xlpm.t,$G248,
_xlpm.cands,_xlfn._xlws.FILTER('Place Profiles'!$G$2:$G$929,'Place Profiles'!$G$2:$G$929&lt;&gt;""),
_xlpm.counts,COUNTIFS('Raw Data'!$G$2:$G$501,_xlpm.t,'Raw Data'!$F$2:$F$501,_xlpm.cands),
_xlpm.mx,MAX(_xlpm.counts),
IF(_xlpm.mx=0,0,_xlfn.TEXTJOIN(" / ",TRUE,_xlfn._xlws.FILTER(_xlpm.cands,_xlpm.counts=_xlpm.mx)))
)</f>
        <v>0</v>
      </c>
      <c r="I248" t="str">
        <f>_xlfn.XLOOKUP(H248,'Place Profiles'!A:A,'Place Profiles'!B:B,"0")</f>
        <v>0</v>
      </c>
      <c r="J248" t="str">
        <f>_xlfn.XLOOKUP(H248,'Place Profiles'!A:A,'Place Profiles'!C:C,"0")</f>
        <v>0</v>
      </c>
    </row>
    <row r="249" spans="1:10" x14ac:dyDescent="0.45">
      <c r="A249" t="str">
        <v>ID_00248</v>
      </c>
      <c r="B249" t="str">
        <v>1628/07/18</v>
      </c>
      <c r="C249" t="str">
        <v>Siena</v>
      </c>
      <c r="D249" s="10">
        <f>_xlfn.XLOOKUP(C249,'Place Profiles'!A:A,'Place Profiles'!B:B,"0")</f>
        <v>43.3184768539152</v>
      </c>
      <c r="E249" s="10">
        <f>_xlfn.XLOOKUP(C249,'Place Profiles'!A:A,'Place Profiles'!C:C,"0")</f>
        <v>11.3310792700061</v>
      </c>
      <c r="F249" t="str">
        <v>Avarigi, Lodovico</v>
      </c>
      <c r="G249" t="str">
        <v>de' Medici, Ferdinando II</v>
      </c>
      <c r="H249" cm="1">
        <f t="array" ref="H249">_xlfn.LET(
_xlpm.t,$G249,
_xlpm.cands,_xlfn._xlws.FILTER('Place Profiles'!$G$2:$G$929,'Place Profiles'!$G$2:$G$929&lt;&gt;""),
_xlpm.counts,COUNTIFS('Raw Data'!$G$2:$G$501,_xlpm.t,'Raw Data'!$F$2:$F$501,_xlpm.cands),
_xlpm.mx,MAX(_xlpm.counts),
IF(_xlpm.mx=0,0,_xlfn.TEXTJOIN(" / ",TRUE,_xlfn._xlws.FILTER(_xlpm.cands,_xlpm.counts=_xlpm.mx)))
)</f>
        <v>0</v>
      </c>
      <c r="I249" t="str">
        <f>_xlfn.XLOOKUP(H249,'Place Profiles'!A:A,'Place Profiles'!B:B,"0")</f>
        <v>0</v>
      </c>
      <c r="J249" t="str">
        <f>_xlfn.XLOOKUP(H249,'Place Profiles'!A:A,'Place Profiles'!C:C,"0")</f>
        <v>0</v>
      </c>
    </row>
    <row r="250" spans="1:10" x14ac:dyDescent="0.45">
      <c r="A250" t="str">
        <v>ID_00249</v>
      </c>
      <c r="B250" t="str">
        <v>1628/07/18</v>
      </c>
      <c r="C250" t="str">
        <v>Siena</v>
      </c>
      <c r="D250" s="10">
        <f>_xlfn.XLOOKUP(C250,'Place Profiles'!A:A,'Place Profiles'!B:B,"0")</f>
        <v>43.3184768539152</v>
      </c>
      <c r="E250" s="10">
        <f>_xlfn.XLOOKUP(C250,'Place Profiles'!A:A,'Place Profiles'!C:C,"0")</f>
        <v>11.3310792700061</v>
      </c>
      <c r="F250" t="str">
        <v>Avarigi, Lodovico</v>
      </c>
      <c r="G250" t="str">
        <v>de' Medici, ?</v>
      </c>
      <c r="H250" cm="1">
        <f t="array" ref="H250">_xlfn.LET(
_xlpm.t,$G250,
_xlpm.cands,_xlfn._xlws.FILTER('Place Profiles'!$G$2:$G$929,'Place Profiles'!$G$2:$G$929&lt;&gt;""),
_xlpm.counts,COUNTIFS('Raw Data'!$G$2:$G$501,_xlpm.t,'Raw Data'!$F$2:$F$501,_xlpm.cands),
_xlpm.mx,MAX(_xlpm.counts),
IF(_xlpm.mx=0,0,_xlfn.TEXTJOIN(" / ",TRUE,_xlfn._xlws.FILTER(_xlpm.cands,_xlpm.counts=_xlpm.mx)))
)</f>
        <v>0</v>
      </c>
      <c r="I250" t="str">
        <f>_xlfn.XLOOKUP(H250,'Place Profiles'!A:A,'Place Profiles'!B:B,"0")</f>
        <v>0</v>
      </c>
      <c r="J250" t="str">
        <f>_xlfn.XLOOKUP(H250,'Place Profiles'!A:A,'Place Profiles'!C:C,"0")</f>
        <v>0</v>
      </c>
    </row>
    <row r="251" spans="1:10" x14ac:dyDescent="0.45">
      <c r="A251" t="str">
        <v>ID_00250</v>
      </c>
      <c r="B251" t="str">
        <v>1622/05/26</v>
      </c>
      <c r="C251" t="str">
        <v>Siena</v>
      </c>
      <c r="D251" s="10">
        <f>_xlfn.XLOOKUP(C251,'Place Profiles'!A:A,'Place Profiles'!B:B,"0")</f>
        <v>43.3184768539152</v>
      </c>
      <c r="E251" s="10">
        <f>_xlfn.XLOOKUP(C251,'Place Profiles'!A:A,'Place Profiles'!C:C,"0")</f>
        <v>11.3310792700061</v>
      </c>
      <c r="F251" t="str">
        <v>Leoncini, Rocco</v>
      </c>
      <c r="G251" t="str">
        <v>von Habsburg, Maria Magdalena</v>
      </c>
      <c r="H251" t="str" cm="1">
        <f t="array" ref="H251">_xlfn.LET(
_xlpm.t,$G251,
_xlpm.cands,_xlfn._xlws.FILTER('Place Profiles'!$G$2:$G$929,'Place Profiles'!$G$2:$G$929&lt;&gt;""),
_xlpm.counts,COUNTIFS('Raw Data'!$G$2:$G$501,_xlpm.t,'Raw Data'!$F$2:$F$501,_xlpm.cands),
_xlpm.mx,MAX(_xlpm.counts),
IF(_xlpm.mx=0,0,_xlfn.TEXTJOIN(" / ",TRUE,_xlfn._xlws.FILTER(_xlpm.cands,_xlpm.counts=_xlpm.mx)))
)</f>
        <v>Firenze/Fiorenza</v>
      </c>
      <c r="I251">
        <f>_xlfn.XLOOKUP(H251,'Place Profiles'!A:A,'Place Profiles'!B:B,"0")</f>
        <v>43.773821664204803</v>
      </c>
      <c r="J251">
        <f>_xlfn.XLOOKUP(H251,'Place Profiles'!A:A,'Place Profiles'!C:C,"0")</f>
        <v>11.2555362617661</v>
      </c>
    </row>
    <row r="252" spans="1:10" x14ac:dyDescent="0.45">
      <c r="A252" t="str">
        <v>ID_00251</v>
      </c>
      <c r="B252" t="str">
        <v>1627/03/01</v>
      </c>
      <c r="C252" t="str">
        <v>Siena</v>
      </c>
      <c r="D252" s="10">
        <f>_xlfn.XLOOKUP(C252,'Place Profiles'!A:A,'Place Profiles'!B:B,"0")</f>
        <v>43.3184768539152</v>
      </c>
      <c r="E252" s="10">
        <f>_xlfn.XLOOKUP(C252,'Place Profiles'!A:A,'Place Profiles'!C:C,"0")</f>
        <v>11.3310792700061</v>
      </c>
      <c r="F252" t="str">
        <v>de' Medici, Caterina</v>
      </c>
      <c r="G252" t="str">
        <v>von Habsburg, Maria Magdalena</v>
      </c>
      <c r="H252" t="str" cm="1">
        <f t="array" ref="H252">_xlfn.LET(
_xlpm.t,$G252,
_xlpm.cands,_xlfn._xlws.FILTER('Place Profiles'!$G$2:$G$929,'Place Profiles'!$G$2:$G$929&lt;&gt;""),
_xlpm.counts,COUNTIFS('Raw Data'!$G$2:$G$501,_xlpm.t,'Raw Data'!$F$2:$F$501,_xlpm.cands),
_xlpm.mx,MAX(_xlpm.counts),
IF(_xlpm.mx=0,0,_xlfn.TEXTJOIN(" / ",TRUE,_xlfn._xlws.FILTER(_xlpm.cands,_xlpm.counts=_xlpm.mx)))
)</f>
        <v>Firenze/Fiorenza</v>
      </c>
      <c r="I252">
        <f>_xlfn.XLOOKUP(H252,'Place Profiles'!A:A,'Place Profiles'!B:B,"0")</f>
        <v>43.773821664204803</v>
      </c>
      <c r="J252">
        <f>_xlfn.XLOOKUP(H252,'Place Profiles'!A:A,'Place Profiles'!C:C,"0")</f>
        <v>11.2555362617661</v>
      </c>
    </row>
    <row r="253" spans="1:10" x14ac:dyDescent="0.45">
      <c r="A253" t="str">
        <v>ID_00252</v>
      </c>
      <c r="B253" t="str">
        <v>1628/10/11</v>
      </c>
      <c r="C253" t="str">
        <v>Siena</v>
      </c>
      <c r="D253" s="10">
        <f>_xlfn.XLOOKUP(C253,'Place Profiles'!A:A,'Place Profiles'!B:B,"0")</f>
        <v>43.3184768539152</v>
      </c>
      <c r="E253" s="10">
        <f>_xlfn.XLOOKUP(C253,'Place Profiles'!A:A,'Place Profiles'!C:C,"0")</f>
        <v>11.3310792700061</v>
      </c>
      <c r="F253" t="str">
        <v>?, Pietro</v>
      </c>
      <c r="G253" t="str">
        <v>de' Medici, Ferdinando II</v>
      </c>
      <c r="H253" cm="1">
        <f t="array" ref="H253">_xlfn.LET(
_xlpm.t,$G253,
_xlpm.cands,_xlfn._xlws.FILTER('Place Profiles'!$G$2:$G$929,'Place Profiles'!$G$2:$G$929&lt;&gt;""),
_xlpm.counts,COUNTIFS('Raw Data'!$G$2:$G$501,_xlpm.t,'Raw Data'!$F$2:$F$501,_xlpm.cands),
_xlpm.mx,MAX(_xlpm.counts),
IF(_xlpm.mx=0,0,_xlfn.TEXTJOIN(" / ",TRUE,_xlfn._xlws.FILTER(_xlpm.cands,_xlpm.counts=_xlpm.mx)))
)</f>
        <v>0</v>
      </c>
      <c r="I253" t="str">
        <f>_xlfn.XLOOKUP(H253,'Place Profiles'!A:A,'Place Profiles'!B:B,"0")</f>
        <v>0</v>
      </c>
      <c r="J253" t="str">
        <f>_xlfn.XLOOKUP(H253,'Place Profiles'!A:A,'Place Profiles'!C:C,"0")</f>
        <v>0</v>
      </c>
    </row>
    <row r="254" spans="1:10" x14ac:dyDescent="0.45">
      <c r="A254" t="str">
        <v>ID_00253</v>
      </c>
      <c r="B254" t="str">
        <v>1628/12/00</v>
      </c>
      <c r="C254" t="str">
        <v>Siena</v>
      </c>
      <c r="D254" s="10">
        <f>_xlfn.XLOOKUP(C254,'Place Profiles'!A:A,'Place Profiles'!B:B,"0")</f>
        <v>43.3184768539152</v>
      </c>
      <c r="E254" s="10">
        <f>_xlfn.XLOOKUP(C254,'Place Profiles'!A:A,'Place Profiles'!C:C,"0")</f>
        <v>11.3310792700061</v>
      </c>
      <c r="F254" t="str">
        <v>Illegible</v>
      </c>
      <c r="G254" t="str">
        <v>von Habsburg, Maria Magdalena</v>
      </c>
      <c r="H254" t="str" cm="1">
        <f t="array" ref="H254">_xlfn.LET(
_xlpm.t,$G254,
_xlpm.cands,_xlfn._xlws.FILTER('Place Profiles'!$G$2:$G$929,'Place Profiles'!$G$2:$G$929&lt;&gt;""),
_xlpm.counts,COUNTIFS('Raw Data'!$G$2:$G$501,_xlpm.t,'Raw Data'!$F$2:$F$501,_xlpm.cands),
_xlpm.mx,MAX(_xlpm.counts),
IF(_xlpm.mx=0,0,_xlfn.TEXTJOIN(" / ",TRUE,_xlfn._xlws.FILTER(_xlpm.cands,_xlpm.counts=_xlpm.mx)))
)</f>
        <v>Firenze/Fiorenza</v>
      </c>
      <c r="I254">
        <f>_xlfn.XLOOKUP(H254,'Place Profiles'!A:A,'Place Profiles'!B:B,"0")</f>
        <v>43.773821664204803</v>
      </c>
      <c r="J254">
        <f>_xlfn.XLOOKUP(H254,'Place Profiles'!A:A,'Place Profiles'!C:C,"0")</f>
        <v>11.2555362617661</v>
      </c>
    </row>
    <row r="255" spans="1:10" x14ac:dyDescent="0.45">
      <c r="A255" t="str">
        <v>ID_00254</v>
      </c>
      <c r="B255" t="str">
        <v>1629/03/09</v>
      </c>
      <c r="C255" t="str">
        <v>Siena</v>
      </c>
      <c r="D255" s="10">
        <f>_xlfn.XLOOKUP(C255,'Place Profiles'!A:A,'Place Profiles'!B:B,"0")</f>
        <v>43.3184768539152</v>
      </c>
      <c r="E255" s="10">
        <f>_xlfn.XLOOKUP(C255,'Place Profiles'!A:A,'Place Profiles'!C:C,"0")</f>
        <v>11.3310792700061</v>
      </c>
      <c r="F255" t="str">
        <v>Petrucci, Lorenzo</v>
      </c>
      <c r="G255" t="str">
        <v>de' Medici, Ferdinando II</v>
      </c>
      <c r="H255" cm="1">
        <f t="array" ref="H255">_xlfn.LET(
_xlpm.t,$G255,
_xlpm.cands,_xlfn._xlws.FILTER('Place Profiles'!$G$2:$G$929,'Place Profiles'!$G$2:$G$929&lt;&gt;""),
_xlpm.counts,COUNTIFS('Raw Data'!$G$2:$G$501,_xlpm.t,'Raw Data'!$F$2:$F$501,_xlpm.cands),
_xlpm.mx,MAX(_xlpm.counts),
IF(_xlpm.mx=0,0,_xlfn.TEXTJOIN(" / ",TRUE,_xlfn._xlws.FILTER(_xlpm.cands,_xlpm.counts=_xlpm.mx)))
)</f>
        <v>0</v>
      </c>
      <c r="I255" t="str">
        <f>_xlfn.XLOOKUP(H255,'Place Profiles'!A:A,'Place Profiles'!B:B,"0")</f>
        <v>0</v>
      </c>
      <c r="J255" t="str">
        <f>_xlfn.XLOOKUP(H255,'Place Profiles'!A:A,'Place Profiles'!C:C,"0")</f>
        <v>0</v>
      </c>
    </row>
    <row r="256" spans="1:10" x14ac:dyDescent="0.45">
      <c r="A256" t="str">
        <v>ID_00255</v>
      </c>
      <c r="B256" t="str">
        <v>1629/03/09</v>
      </c>
      <c r="C256" t="str">
        <v>Siena</v>
      </c>
      <c r="D256" s="10">
        <f>_xlfn.XLOOKUP(C256,'Place Profiles'!A:A,'Place Profiles'!B:B,"0")</f>
        <v>43.3184768539152</v>
      </c>
      <c r="E256" s="10">
        <f>_xlfn.XLOOKUP(C256,'Place Profiles'!A:A,'Place Profiles'!C:C,"0")</f>
        <v>11.3310792700061</v>
      </c>
      <c r="F256" t="str">
        <v>Petrucci, Lorenzo</v>
      </c>
      <c r="G256" t="str">
        <v>von Habsburg, Maria Magdalena</v>
      </c>
      <c r="H256" t="str" cm="1">
        <f t="array" ref="H256">_xlfn.LET(
_xlpm.t,$G256,
_xlpm.cands,_xlfn._xlws.FILTER('Place Profiles'!$G$2:$G$929,'Place Profiles'!$G$2:$G$929&lt;&gt;""),
_xlpm.counts,COUNTIFS('Raw Data'!$G$2:$G$501,_xlpm.t,'Raw Data'!$F$2:$F$501,_xlpm.cands),
_xlpm.mx,MAX(_xlpm.counts),
IF(_xlpm.mx=0,0,_xlfn.TEXTJOIN(" / ",TRUE,_xlfn._xlws.FILTER(_xlpm.cands,_xlpm.counts=_xlpm.mx)))
)</f>
        <v>Firenze/Fiorenza</v>
      </c>
      <c r="I256">
        <f>_xlfn.XLOOKUP(H256,'Place Profiles'!A:A,'Place Profiles'!B:B,"0")</f>
        <v>43.773821664204803</v>
      </c>
      <c r="J256">
        <f>_xlfn.XLOOKUP(H256,'Place Profiles'!A:A,'Place Profiles'!C:C,"0")</f>
        <v>11.2555362617661</v>
      </c>
    </row>
    <row r="257" spans="1:10" x14ac:dyDescent="0.45">
      <c r="A257" t="str">
        <v>ID_00256</v>
      </c>
      <c r="B257" t="str">
        <v>1629/04/17</v>
      </c>
      <c r="C257" t="str">
        <v>Siena</v>
      </c>
      <c r="D257" s="10">
        <f>_xlfn.XLOOKUP(C257,'Place Profiles'!A:A,'Place Profiles'!B:B,"0")</f>
        <v>43.3184768539152</v>
      </c>
      <c r="E257" s="10">
        <f>_xlfn.XLOOKUP(C257,'Place Profiles'!A:A,'Place Profiles'!C:C,"0")</f>
        <v>11.3310792700061</v>
      </c>
      <c r="F257" t="str">
        <v>Petrucci, Gio.batta</v>
      </c>
      <c r="G257" t="str">
        <v>de' Medici, Ferdinando II</v>
      </c>
      <c r="H257" cm="1">
        <f t="array" ref="H257">_xlfn.LET(
_xlpm.t,$G257,
_xlpm.cands,_xlfn._xlws.FILTER('Place Profiles'!$G$2:$G$929,'Place Profiles'!$G$2:$G$929&lt;&gt;""),
_xlpm.counts,COUNTIFS('Raw Data'!$G$2:$G$501,_xlpm.t,'Raw Data'!$F$2:$F$501,_xlpm.cands),
_xlpm.mx,MAX(_xlpm.counts),
IF(_xlpm.mx=0,0,_xlfn.TEXTJOIN(" / ",TRUE,_xlfn._xlws.FILTER(_xlpm.cands,_xlpm.counts=_xlpm.mx)))
)</f>
        <v>0</v>
      </c>
      <c r="I257" t="str">
        <f>_xlfn.XLOOKUP(H257,'Place Profiles'!A:A,'Place Profiles'!B:B,"0")</f>
        <v>0</v>
      </c>
      <c r="J257" t="str">
        <f>_xlfn.XLOOKUP(H257,'Place Profiles'!A:A,'Place Profiles'!C:C,"0")</f>
        <v>0</v>
      </c>
    </row>
    <row r="258" spans="1:10" x14ac:dyDescent="0.45">
      <c r="A258" t="str">
        <v>ID_00257</v>
      </c>
      <c r="B258" t="str">
        <v>1629/06/18</v>
      </c>
      <c r="C258" t="str">
        <v>Siena</v>
      </c>
      <c r="D258" s="10">
        <f>_xlfn.XLOOKUP(C258,'Place Profiles'!A:A,'Place Profiles'!B:B,"0")</f>
        <v>43.3184768539152</v>
      </c>
      <c r="E258" s="10">
        <f>_xlfn.XLOOKUP(C258,'Place Profiles'!A:A,'Place Profiles'!C:C,"0")</f>
        <v>11.3310792700061</v>
      </c>
      <c r="F258" t="str">
        <v>Chigi, Agostino</v>
      </c>
      <c r="G258" t="str">
        <v>de' Medici, Ferdinando II</v>
      </c>
      <c r="H258" cm="1">
        <f t="array" ref="H258">_xlfn.LET(
_xlpm.t,$G258,
_xlpm.cands,_xlfn._xlws.FILTER('Place Profiles'!$G$2:$G$929,'Place Profiles'!$G$2:$G$929&lt;&gt;""),
_xlpm.counts,COUNTIFS('Raw Data'!$G$2:$G$501,_xlpm.t,'Raw Data'!$F$2:$F$501,_xlpm.cands),
_xlpm.mx,MAX(_xlpm.counts),
IF(_xlpm.mx=0,0,_xlfn.TEXTJOIN(" / ",TRUE,_xlfn._xlws.FILTER(_xlpm.cands,_xlpm.counts=_xlpm.mx)))
)</f>
        <v>0</v>
      </c>
      <c r="I258" t="str">
        <f>_xlfn.XLOOKUP(H258,'Place Profiles'!A:A,'Place Profiles'!B:B,"0")</f>
        <v>0</v>
      </c>
      <c r="J258" t="str">
        <f>_xlfn.XLOOKUP(H258,'Place Profiles'!A:A,'Place Profiles'!C:C,"0")</f>
        <v>0</v>
      </c>
    </row>
    <row r="259" spans="1:10" x14ac:dyDescent="0.45">
      <c r="A259" t="str">
        <v>ID_00258</v>
      </c>
      <c r="B259" t="str">
        <v>1629/07/30</v>
      </c>
      <c r="C259" t="str">
        <v>Siena</v>
      </c>
      <c r="D259" s="10">
        <f>_xlfn.XLOOKUP(C259,'Place Profiles'!A:A,'Place Profiles'!B:B,"0")</f>
        <v>43.3184768539152</v>
      </c>
      <c r="E259" s="10">
        <f>_xlfn.XLOOKUP(C259,'Place Profiles'!A:A,'Place Profiles'!C:C,"0")</f>
        <v>11.3310792700061</v>
      </c>
      <c r="F259" t="str">
        <v>d'Hassia, Arrigo Landgrario</v>
      </c>
      <c r="G259" t="str">
        <v>de' Medici, Ferdinando II</v>
      </c>
      <c r="H259" cm="1">
        <f t="array" ref="H259">_xlfn.LET(
_xlpm.t,$G259,
_xlpm.cands,_xlfn._xlws.FILTER('Place Profiles'!$G$2:$G$929,'Place Profiles'!$G$2:$G$929&lt;&gt;""),
_xlpm.counts,COUNTIFS('Raw Data'!$G$2:$G$501,_xlpm.t,'Raw Data'!$F$2:$F$501,_xlpm.cands),
_xlpm.mx,MAX(_xlpm.counts),
IF(_xlpm.mx=0,0,_xlfn.TEXTJOIN(" / ",TRUE,_xlfn._xlws.FILTER(_xlpm.cands,_xlpm.counts=_xlpm.mx)))
)</f>
        <v>0</v>
      </c>
      <c r="I259" t="str">
        <f>_xlfn.XLOOKUP(H259,'Place Profiles'!A:A,'Place Profiles'!B:B,"0")</f>
        <v>0</v>
      </c>
      <c r="J259" t="str">
        <f>_xlfn.XLOOKUP(H259,'Place Profiles'!A:A,'Place Profiles'!C:C,"0")</f>
        <v>0</v>
      </c>
    </row>
    <row r="260" spans="1:10" x14ac:dyDescent="0.45">
      <c r="A260" t="str">
        <v>ID_00259</v>
      </c>
      <c r="B260" t="str">
        <v>1629/08/28</v>
      </c>
      <c r="C260" t="str">
        <v>Siena</v>
      </c>
      <c r="D260" s="10">
        <f>_xlfn.XLOOKUP(C260,'Place Profiles'!A:A,'Place Profiles'!B:B,"0")</f>
        <v>43.3184768539152</v>
      </c>
      <c r="E260" s="10">
        <f>_xlfn.XLOOKUP(C260,'Place Profiles'!A:A,'Place Profiles'!C:C,"0")</f>
        <v>11.3310792700061</v>
      </c>
      <c r="F260" t="str">
        <v>del Golia, Curtio</v>
      </c>
      <c r="G260" t="str">
        <v>de' Medici, Ferdinando II</v>
      </c>
      <c r="H260" cm="1">
        <f t="array" ref="H260">_xlfn.LET(
_xlpm.t,$G260,
_xlpm.cands,_xlfn._xlws.FILTER('Place Profiles'!$G$2:$G$929,'Place Profiles'!$G$2:$G$929&lt;&gt;""),
_xlpm.counts,COUNTIFS('Raw Data'!$G$2:$G$501,_xlpm.t,'Raw Data'!$F$2:$F$501,_xlpm.cands),
_xlpm.mx,MAX(_xlpm.counts),
IF(_xlpm.mx=0,0,_xlfn.TEXTJOIN(" / ",TRUE,_xlfn._xlws.FILTER(_xlpm.cands,_xlpm.counts=_xlpm.mx)))
)</f>
        <v>0</v>
      </c>
      <c r="I260" t="str">
        <f>_xlfn.XLOOKUP(H260,'Place Profiles'!A:A,'Place Profiles'!B:B,"0")</f>
        <v>0</v>
      </c>
      <c r="J260" t="str">
        <f>_xlfn.XLOOKUP(H260,'Place Profiles'!A:A,'Place Profiles'!C:C,"0")</f>
        <v>0</v>
      </c>
    </row>
    <row r="261" spans="1:10" x14ac:dyDescent="0.45">
      <c r="A261" t="str">
        <v>ID_00260</v>
      </c>
      <c r="B261" t="str">
        <v>1628/05/03</v>
      </c>
      <c r="C261" t="str">
        <v>Siena</v>
      </c>
      <c r="D261" s="10">
        <f>_xlfn.XLOOKUP(C261,'Place Profiles'!A:A,'Place Profiles'!B:B,"0")</f>
        <v>43.3184768539152</v>
      </c>
      <c r="E261" s="10">
        <f>_xlfn.XLOOKUP(C261,'Place Profiles'!A:A,'Place Profiles'!C:C,"0")</f>
        <v>11.3310792700061</v>
      </c>
      <c r="F261" t="str">
        <v>de' Medici, Caterina</v>
      </c>
      <c r="G261" t="str">
        <v>von Habsburg, Maria Magdalena</v>
      </c>
      <c r="H261" t="str" cm="1">
        <f t="array" ref="H261">_xlfn.LET(
_xlpm.t,$G261,
_xlpm.cands,_xlfn._xlws.FILTER('Place Profiles'!$G$2:$G$929,'Place Profiles'!$G$2:$G$929&lt;&gt;""),
_xlpm.counts,COUNTIFS('Raw Data'!$G$2:$G$501,_xlpm.t,'Raw Data'!$F$2:$F$501,_xlpm.cands),
_xlpm.mx,MAX(_xlpm.counts),
IF(_xlpm.mx=0,0,_xlfn.TEXTJOIN(" / ",TRUE,_xlfn._xlws.FILTER(_xlpm.cands,_xlpm.counts=_xlpm.mx)))
)</f>
        <v>Firenze/Fiorenza</v>
      </c>
      <c r="I261">
        <f>_xlfn.XLOOKUP(H261,'Place Profiles'!A:A,'Place Profiles'!B:B,"0")</f>
        <v>43.773821664204803</v>
      </c>
      <c r="J261">
        <f>_xlfn.XLOOKUP(H261,'Place Profiles'!A:A,'Place Profiles'!C:C,"0")</f>
        <v>11.2555362617661</v>
      </c>
    </row>
    <row r="262" spans="1:10" x14ac:dyDescent="0.45">
      <c r="A262" t="str">
        <v>ID_00261</v>
      </c>
      <c r="B262" t="str">
        <v>1629/09/16</v>
      </c>
      <c r="C262" t="str">
        <v>Siena</v>
      </c>
      <c r="D262" s="10">
        <f>_xlfn.XLOOKUP(C262,'Place Profiles'!A:A,'Place Profiles'!B:B,"0")</f>
        <v>43.3184768539152</v>
      </c>
      <c r="E262" s="10">
        <f>_xlfn.XLOOKUP(C262,'Place Profiles'!A:A,'Place Profiles'!C:C,"0")</f>
        <v>11.3310792700061</v>
      </c>
      <c r="F262" t="str">
        <v>Fontebuoni, Orsola</v>
      </c>
      <c r="G262" t="str">
        <v>de' Medici, Ferdinando II</v>
      </c>
      <c r="H262" cm="1">
        <f t="array" ref="H262">_xlfn.LET(
_xlpm.t,$G262,
_xlpm.cands,_xlfn._xlws.FILTER('Place Profiles'!$G$2:$G$929,'Place Profiles'!$G$2:$G$929&lt;&gt;""),
_xlpm.counts,COUNTIFS('Raw Data'!$G$2:$G$501,_xlpm.t,'Raw Data'!$F$2:$F$501,_xlpm.cands),
_xlpm.mx,MAX(_xlpm.counts),
IF(_xlpm.mx=0,0,_xlfn.TEXTJOIN(" / ",TRUE,_xlfn._xlws.FILTER(_xlpm.cands,_xlpm.counts=_xlpm.mx)))
)</f>
        <v>0</v>
      </c>
      <c r="I262" t="str">
        <f>_xlfn.XLOOKUP(H262,'Place Profiles'!A:A,'Place Profiles'!B:B,"0")</f>
        <v>0</v>
      </c>
      <c r="J262" t="str">
        <f>_xlfn.XLOOKUP(H262,'Place Profiles'!A:A,'Place Profiles'!C:C,"0")</f>
        <v>0</v>
      </c>
    </row>
    <row r="263" spans="1:10" x14ac:dyDescent="0.45">
      <c r="A263" t="str">
        <v>ID_00262</v>
      </c>
      <c r="B263" t="str">
        <v>1628/05/03</v>
      </c>
      <c r="C263" t="str">
        <v>Siena</v>
      </c>
      <c r="D263" s="10">
        <f>_xlfn.XLOOKUP(C263,'Place Profiles'!A:A,'Place Profiles'!B:B,"0")</f>
        <v>43.3184768539152</v>
      </c>
      <c r="E263" s="10">
        <f>_xlfn.XLOOKUP(C263,'Place Profiles'!A:A,'Place Profiles'!C:C,"0")</f>
        <v>11.3310792700061</v>
      </c>
      <c r="F263" t="str">
        <v>de' Medici, Caterina</v>
      </c>
      <c r="G263" t="str">
        <v>Unnamed</v>
      </c>
      <c r="H263" t="str" cm="1">
        <f t="array" ref="H263">_xlfn.LET(
_xlpm.t,$G263,
_xlpm.cands,_xlfn._xlws.FILTER('Place Profiles'!$G$2:$G$929,'Place Profiles'!$G$2:$G$929&lt;&gt;""),
_xlpm.counts,COUNTIFS('Raw Data'!$G$2:$G$501,_xlpm.t,'Raw Data'!$F$2:$F$501,_xlpm.cands),
_xlpm.mx,MAX(_xlpm.counts),
IF(_xlpm.mx=0,0,_xlfn.TEXTJOIN(" / ",TRUE,_xlfn._xlws.FILTER(_xlpm.cands,_xlpm.counts=_xlpm.mx)))
)</f>
        <v>Napoli</v>
      </c>
      <c r="I263">
        <f>_xlfn.XLOOKUP(H263,'Place Profiles'!A:A,'Place Profiles'!B:B,"0")</f>
        <v>40.848961755168702</v>
      </c>
      <c r="J263">
        <f>_xlfn.XLOOKUP(H263,'Place Profiles'!A:A,'Place Profiles'!C:C,"0")</f>
        <v>14.271792379340599</v>
      </c>
    </row>
    <row r="264" spans="1:10" x14ac:dyDescent="0.45">
      <c r="A264" t="str">
        <v>ID_00263</v>
      </c>
      <c r="B264" t="str">
        <v>1622/05/25</v>
      </c>
      <c r="C264" t="str">
        <v>Siena</v>
      </c>
      <c r="D264" s="10">
        <f>_xlfn.XLOOKUP(C264,'Place Profiles'!A:A,'Place Profiles'!B:B,"0")</f>
        <v>43.3184768539152</v>
      </c>
      <c r="E264" s="10">
        <f>_xlfn.XLOOKUP(C264,'Place Profiles'!A:A,'Place Profiles'!C:C,"0")</f>
        <v>11.3310792700061</v>
      </c>
      <c r="F264" t="str">
        <v>Avarna, Mario</v>
      </c>
      <c r="G264" t="str">
        <v>von Habsburg, Maria Magdalena</v>
      </c>
      <c r="H264" t="str" cm="1">
        <f t="array" ref="H264">_xlfn.LET(
_xlpm.t,$G264,
_xlpm.cands,_xlfn._xlws.FILTER('Place Profiles'!$G$2:$G$929,'Place Profiles'!$G$2:$G$929&lt;&gt;""),
_xlpm.counts,COUNTIFS('Raw Data'!$G$2:$G$501,_xlpm.t,'Raw Data'!$F$2:$F$501,_xlpm.cands),
_xlpm.mx,MAX(_xlpm.counts),
IF(_xlpm.mx=0,0,_xlfn.TEXTJOIN(" / ",TRUE,_xlfn._xlws.FILTER(_xlpm.cands,_xlpm.counts=_xlpm.mx)))
)</f>
        <v>Firenze/Fiorenza</v>
      </c>
      <c r="I264">
        <f>_xlfn.XLOOKUP(H264,'Place Profiles'!A:A,'Place Profiles'!B:B,"0")</f>
        <v>43.773821664204803</v>
      </c>
      <c r="J264">
        <f>_xlfn.XLOOKUP(H264,'Place Profiles'!A:A,'Place Profiles'!C:C,"0")</f>
        <v>11.2555362617661</v>
      </c>
    </row>
    <row r="265" spans="1:10" x14ac:dyDescent="0.45">
      <c r="A265" t="str">
        <v>ID_00264</v>
      </c>
      <c r="B265" t="str">
        <v>1627/03/17</v>
      </c>
      <c r="C265" t="str">
        <v>Siena</v>
      </c>
      <c r="D265" s="10">
        <f>_xlfn.XLOOKUP(C265,'Place Profiles'!A:A,'Place Profiles'!B:B,"0")</f>
        <v>43.3184768539152</v>
      </c>
      <c r="E265" s="10">
        <f>_xlfn.XLOOKUP(C265,'Place Profiles'!A:A,'Place Profiles'!C:C,"0")</f>
        <v>11.3310792700061</v>
      </c>
      <c r="F265" t="str">
        <v>de' Medici, Caterina</v>
      </c>
      <c r="G265" t="str">
        <v>von Habsburg, Maria Magdalena</v>
      </c>
      <c r="H265" t="str" cm="1">
        <f t="array" ref="H265">_xlfn.LET(
_xlpm.t,$G265,
_xlpm.cands,_xlfn._xlws.FILTER('Place Profiles'!$G$2:$G$929,'Place Profiles'!$G$2:$G$929&lt;&gt;""),
_xlpm.counts,COUNTIFS('Raw Data'!$G$2:$G$501,_xlpm.t,'Raw Data'!$F$2:$F$501,_xlpm.cands),
_xlpm.mx,MAX(_xlpm.counts),
IF(_xlpm.mx=0,0,_xlfn.TEXTJOIN(" / ",TRUE,_xlfn._xlws.FILTER(_xlpm.cands,_xlpm.counts=_xlpm.mx)))
)</f>
        <v>Firenze/Fiorenza</v>
      </c>
      <c r="I265">
        <f>_xlfn.XLOOKUP(H265,'Place Profiles'!A:A,'Place Profiles'!B:B,"0")</f>
        <v>43.773821664204803</v>
      </c>
      <c r="J265">
        <f>_xlfn.XLOOKUP(H265,'Place Profiles'!A:A,'Place Profiles'!C:C,"0")</f>
        <v>11.2555362617661</v>
      </c>
    </row>
    <row r="266" spans="1:10" x14ac:dyDescent="0.45">
      <c r="A266" t="str">
        <v>ID_00265</v>
      </c>
      <c r="B266" t="str">
        <v>1628/05/09</v>
      </c>
      <c r="C266" t="str">
        <v>Siena</v>
      </c>
      <c r="D266" s="10">
        <f>_xlfn.XLOOKUP(C266,'Place Profiles'!A:A,'Place Profiles'!B:B,"0")</f>
        <v>43.3184768539152</v>
      </c>
      <c r="E266" s="10">
        <f>_xlfn.XLOOKUP(C266,'Place Profiles'!A:A,'Place Profiles'!C:C,"0")</f>
        <v>11.3310792700061</v>
      </c>
      <c r="F266" t="str">
        <v>de' Medici, Caterina</v>
      </c>
      <c r="G266" t="str">
        <v>di Lorena, Cristina</v>
      </c>
      <c r="H266" t="str" cm="1">
        <f t="array" ref="H266">_xlfn.LET(
_xlpm.t,$G266,
_xlpm.cands,_xlfn._xlws.FILTER('Place Profiles'!$G$2:$G$929,'Place Profiles'!$G$2:$G$929&lt;&gt;""),
_xlpm.counts,COUNTIFS('Raw Data'!$G$2:$G$501,_xlpm.t,'Raw Data'!$F$2:$F$501,_xlpm.cands),
_xlpm.mx,MAX(_xlpm.counts),
IF(_xlpm.mx=0,0,_xlfn.TEXTJOIN(" / ",TRUE,_xlfn._xlws.FILTER(_xlpm.cands,_xlpm.counts=_xlpm.mx)))
)</f>
        <v>Firenze/Fiorenza</v>
      </c>
      <c r="I266">
        <f>_xlfn.XLOOKUP(H266,'Place Profiles'!A:A,'Place Profiles'!B:B,"0")</f>
        <v>43.773821664204803</v>
      </c>
      <c r="J266">
        <f>_xlfn.XLOOKUP(H266,'Place Profiles'!A:A,'Place Profiles'!C:C,"0")</f>
        <v>11.2555362617661</v>
      </c>
    </row>
    <row r="267" spans="1:10" x14ac:dyDescent="0.45">
      <c r="A267" t="str">
        <v>ID_00266</v>
      </c>
      <c r="B267" t="str">
        <v>1629/10/04</v>
      </c>
      <c r="C267" t="str">
        <v>Siena</v>
      </c>
      <c r="D267" s="10">
        <f>_xlfn.XLOOKUP(C267,'Place Profiles'!A:A,'Place Profiles'!B:B,"0")</f>
        <v>43.3184768539152</v>
      </c>
      <c r="E267" s="10">
        <f>_xlfn.XLOOKUP(C267,'Place Profiles'!A:A,'Place Profiles'!C:C,"0")</f>
        <v>11.3310792700061</v>
      </c>
      <c r="F267" t="str">
        <v>Fontebuoni, Orsola</v>
      </c>
      <c r="G267" t="str">
        <v>von Habsburg, Maria Magdalena</v>
      </c>
      <c r="H267" t="str" cm="1">
        <f t="array" ref="H267">_xlfn.LET(
_xlpm.t,$G267,
_xlpm.cands,_xlfn._xlws.FILTER('Place Profiles'!$G$2:$G$929,'Place Profiles'!$G$2:$G$929&lt;&gt;""),
_xlpm.counts,COUNTIFS('Raw Data'!$G$2:$G$501,_xlpm.t,'Raw Data'!$F$2:$F$501,_xlpm.cands),
_xlpm.mx,MAX(_xlpm.counts),
IF(_xlpm.mx=0,0,_xlfn.TEXTJOIN(" / ",TRUE,_xlfn._xlws.FILTER(_xlpm.cands,_xlpm.counts=_xlpm.mx)))
)</f>
        <v>Firenze/Fiorenza</v>
      </c>
      <c r="I267">
        <f>_xlfn.XLOOKUP(H267,'Place Profiles'!A:A,'Place Profiles'!B:B,"0")</f>
        <v>43.773821664204803</v>
      </c>
      <c r="J267">
        <f>_xlfn.XLOOKUP(H267,'Place Profiles'!A:A,'Place Profiles'!C:C,"0")</f>
        <v>11.2555362617661</v>
      </c>
    </row>
    <row r="268" spans="1:10" x14ac:dyDescent="0.45">
      <c r="A268" t="str">
        <v>ID_00267</v>
      </c>
      <c r="B268" t="str">
        <v>1628/05/06</v>
      </c>
      <c r="C268" t="str">
        <v>Siena</v>
      </c>
      <c r="D268" s="10">
        <f>_xlfn.XLOOKUP(C268,'Place Profiles'!A:A,'Place Profiles'!B:B,"0")</f>
        <v>43.3184768539152</v>
      </c>
      <c r="E268" s="10">
        <f>_xlfn.XLOOKUP(C268,'Place Profiles'!A:A,'Place Profiles'!C:C,"0")</f>
        <v>11.3310792700061</v>
      </c>
      <c r="F268" t="str">
        <v>de' Medici, Caterina</v>
      </c>
      <c r="G268" t="str">
        <v>von Habsburg, Maria Magdalena</v>
      </c>
      <c r="H268" t="str" cm="1">
        <f t="array" ref="H268">_xlfn.LET(
_xlpm.t,$G268,
_xlpm.cands,_xlfn._xlws.FILTER('Place Profiles'!$G$2:$G$929,'Place Profiles'!$G$2:$G$929&lt;&gt;""),
_xlpm.counts,COUNTIFS('Raw Data'!$G$2:$G$501,_xlpm.t,'Raw Data'!$F$2:$F$501,_xlpm.cands),
_xlpm.mx,MAX(_xlpm.counts),
IF(_xlpm.mx=0,0,_xlfn.TEXTJOIN(" / ",TRUE,_xlfn._xlws.FILTER(_xlpm.cands,_xlpm.counts=_xlpm.mx)))
)</f>
        <v>Firenze/Fiorenza</v>
      </c>
      <c r="I268">
        <f>_xlfn.XLOOKUP(H268,'Place Profiles'!A:A,'Place Profiles'!B:B,"0")</f>
        <v>43.773821664204803</v>
      </c>
      <c r="J268">
        <f>_xlfn.XLOOKUP(H268,'Place Profiles'!A:A,'Place Profiles'!C:C,"0")</f>
        <v>11.2555362617661</v>
      </c>
    </row>
    <row r="269" spans="1:10" x14ac:dyDescent="0.45">
      <c r="A269" t="str">
        <v>ID_00268</v>
      </c>
      <c r="B269" t="str">
        <v>1629/10/07</v>
      </c>
      <c r="C269" t="str">
        <v>Siena</v>
      </c>
      <c r="D269" s="10">
        <f>_xlfn.XLOOKUP(C269,'Place Profiles'!A:A,'Place Profiles'!B:B,"0")</f>
        <v>43.3184768539152</v>
      </c>
      <c r="E269" s="10">
        <f>_xlfn.XLOOKUP(C269,'Place Profiles'!A:A,'Place Profiles'!C:C,"0")</f>
        <v>11.3310792700061</v>
      </c>
      <c r="F269" t="str">
        <v>Multiple</v>
      </c>
      <c r="G269" t="str">
        <v>von Habsburg, Maria Magdalena</v>
      </c>
      <c r="H269" t="str" cm="1">
        <f t="array" ref="H269">_xlfn.LET(
_xlpm.t,$G269,
_xlpm.cands,_xlfn._xlws.FILTER('Place Profiles'!$G$2:$G$929,'Place Profiles'!$G$2:$G$929&lt;&gt;""),
_xlpm.counts,COUNTIFS('Raw Data'!$G$2:$G$501,_xlpm.t,'Raw Data'!$F$2:$F$501,_xlpm.cands),
_xlpm.mx,MAX(_xlpm.counts),
IF(_xlpm.mx=0,0,_xlfn.TEXTJOIN(" / ",TRUE,_xlfn._xlws.FILTER(_xlpm.cands,_xlpm.counts=_xlpm.mx)))
)</f>
        <v>Firenze/Fiorenza</v>
      </c>
      <c r="I269">
        <f>_xlfn.XLOOKUP(H269,'Place Profiles'!A:A,'Place Profiles'!B:B,"0")</f>
        <v>43.773821664204803</v>
      </c>
      <c r="J269">
        <f>_xlfn.XLOOKUP(H269,'Place Profiles'!A:A,'Place Profiles'!C:C,"0")</f>
        <v>11.2555362617661</v>
      </c>
    </row>
    <row r="270" spans="1:10" x14ac:dyDescent="0.45">
      <c r="A270" t="str">
        <v>ID_00269</v>
      </c>
      <c r="B270" t="str">
        <v>1628/05/07</v>
      </c>
      <c r="C270" t="str">
        <v>Siena</v>
      </c>
      <c r="D270" s="10">
        <f>_xlfn.XLOOKUP(C270,'Place Profiles'!A:A,'Place Profiles'!B:B,"0")</f>
        <v>43.3184768539152</v>
      </c>
      <c r="E270" s="10">
        <f>_xlfn.XLOOKUP(C270,'Place Profiles'!A:A,'Place Profiles'!C:C,"0")</f>
        <v>11.3310792700061</v>
      </c>
      <c r="F270" t="str">
        <v>de' Medici, Caterina</v>
      </c>
      <c r="G270" t="str">
        <v>von Habsburg, Maria Magdalena</v>
      </c>
      <c r="H270" t="str" cm="1">
        <f t="array" ref="H270">_xlfn.LET(
_xlpm.t,$G270,
_xlpm.cands,_xlfn._xlws.FILTER('Place Profiles'!$G$2:$G$929,'Place Profiles'!$G$2:$G$929&lt;&gt;""),
_xlpm.counts,COUNTIFS('Raw Data'!$G$2:$G$501,_xlpm.t,'Raw Data'!$F$2:$F$501,_xlpm.cands),
_xlpm.mx,MAX(_xlpm.counts),
IF(_xlpm.mx=0,0,_xlfn.TEXTJOIN(" / ",TRUE,_xlfn._xlws.FILTER(_xlpm.cands,_xlpm.counts=_xlpm.mx)))
)</f>
        <v>Firenze/Fiorenza</v>
      </c>
      <c r="I270">
        <f>_xlfn.XLOOKUP(H270,'Place Profiles'!A:A,'Place Profiles'!B:B,"0")</f>
        <v>43.773821664204803</v>
      </c>
      <c r="J270">
        <f>_xlfn.XLOOKUP(H270,'Place Profiles'!A:A,'Place Profiles'!C:C,"0")</f>
        <v>11.2555362617661</v>
      </c>
    </row>
    <row r="271" spans="1:10" x14ac:dyDescent="0.45">
      <c r="A271" t="str">
        <v>ID_00270</v>
      </c>
      <c r="B271" t="str">
        <v>1629/10/08</v>
      </c>
      <c r="C271" t="str">
        <v>Siena</v>
      </c>
      <c r="D271" s="10">
        <f>_xlfn.XLOOKUP(C271,'Place Profiles'!A:A,'Place Profiles'!B:B,"0")</f>
        <v>43.3184768539152</v>
      </c>
      <c r="E271" s="10">
        <f>_xlfn.XLOOKUP(C271,'Place Profiles'!A:A,'Place Profiles'!C:C,"0")</f>
        <v>11.3310792700061</v>
      </c>
      <c r="F271" t="str">
        <v>Montabbano, Marco</v>
      </c>
      <c r="G271" t="str">
        <v>de' Medici, Ferdinando II</v>
      </c>
      <c r="H271" cm="1">
        <f t="array" ref="H271">_xlfn.LET(
_xlpm.t,$G271,
_xlpm.cands,_xlfn._xlws.FILTER('Place Profiles'!$G$2:$G$929,'Place Profiles'!$G$2:$G$929&lt;&gt;""),
_xlpm.counts,COUNTIFS('Raw Data'!$G$2:$G$501,_xlpm.t,'Raw Data'!$F$2:$F$501,_xlpm.cands),
_xlpm.mx,MAX(_xlpm.counts),
IF(_xlpm.mx=0,0,_xlfn.TEXTJOIN(" / ",TRUE,_xlfn._xlws.FILTER(_xlpm.cands,_xlpm.counts=_xlpm.mx)))
)</f>
        <v>0</v>
      </c>
      <c r="I271" t="str">
        <f>_xlfn.XLOOKUP(H271,'Place Profiles'!A:A,'Place Profiles'!B:B,"0")</f>
        <v>0</v>
      </c>
      <c r="J271" t="str">
        <f>_xlfn.XLOOKUP(H271,'Place Profiles'!A:A,'Place Profiles'!C:C,"0")</f>
        <v>0</v>
      </c>
    </row>
    <row r="272" spans="1:10" x14ac:dyDescent="0.45">
      <c r="A272" t="str">
        <v>ID_00271</v>
      </c>
      <c r="B272" t="str">
        <v>1628/05/09</v>
      </c>
      <c r="C272" t="str">
        <v>Siena</v>
      </c>
      <c r="D272" s="10">
        <f>_xlfn.XLOOKUP(C272,'Place Profiles'!A:A,'Place Profiles'!B:B,"0")</f>
        <v>43.3184768539152</v>
      </c>
      <c r="E272" s="10">
        <f>_xlfn.XLOOKUP(C272,'Place Profiles'!A:A,'Place Profiles'!C:C,"0")</f>
        <v>11.3310792700061</v>
      </c>
      <c r="F272" t="str">
        <v>de' Medici, Caterina</v>
      </c>
      <c r="G272" t="str">
        <v>von Habsburg, Maria Magdalena</v>
      </c>
      <c r="H272" t="str" cm="1">
        <f t="array" ref="H272">_xlfn.LET(
_xlpm.t,$G272,
_xlpm.cands,_xlfn._xlws.FILTER('Place Profiles'!$G$2:$G$929,'Place Profiles'!$G$2:$G$929&lt;&gt;""),
_xlpm.counts,COUNTIFS('Raw Data'!$G$2:$G$501,_xlpm.t,'Raw Data'!$F$2:$F$501,_xlpm.cands),
_xlpm.mx,MAX(_xlpm.counts),
IF(_xlpm.mx=0,0,_xlfn.TEXTJOIN(" / ",TRUE,_xlfn._xlws.FILTER(_xlpm.cands,_xlpm.counts=_xlpm.mx)))
)</f>
        <v>Firenze/Fiorenza</v>
      </c>
      <c r="I272">
        <f>_xlfn.XLOOKUP(H272,'Place Profiles'!A:A,'Place Profiles'!B:B,"0")</f>
        <v>43.773821664204803</v>
      </c>
      <c r="J272">
        <f>_xlfn.XLOOKUP(H272,'Place Profiles'!A:A,'Place Profiles'!C:C,"0")</f>
        <v>11.2555362617661</v>
      </c>
    </row>
    <row r="273" spans="1:10" x14ac:dyDescent="0.45">
      <c r="A273" t="str">
        <v>ID_00272</v>
      </c>
      <c r="B273" t="str">
        <v>1629/11/27</v>
      </c>
      <c r="C273" t="str">
        <v>Siena</v>
      </c>
      <c r="D273" s="10">
        <f>_xlfn.XLOOKUP(C273,'Place Profiles'!A:A,'Place Profiles'!B:B,"0")</f>
        <v>43.3184768539152</v>
      </c>
      <c r="E273" s="10">
        <f>_xlfn.XLOOKUP(C273,'Place Profiles'!A:A,'Place Profiles'!C:C,"0")</f>
        <v>11.3310792700061</v>
      </c>
      <c r="F273" t="str">
        <v>de' Medici, Mattias</v>
      </c>
      <c r="G273" t="str">
        <v>de' Medici, Ferdinando II</v>
      </c>
      <c r="H273" cm="1">
        <f t="array" ref="H273">_xlfn.LET(
_xlpm.t,$G273,
_xlpm.cands,_xlfn._xlws.FILTER('Place Profiles'!$G$2:$G$929,'Place Profiles'!$G$2:$G$929&lt;&gt;""),
_xlpm.counts,COUNTIFS('Raw Data'!$G$2:$G$501,_xlpm.t,'Raw Data'!$F$2:$F$501,_xlpm.cands),
_xlpm.mx,MAX(_xlpm.counts),
IF(_xlpm.mx=0,0,_xlfn.TEXTJOIN(" / ",TRUE,_xlfn._xlws.FILTER(_xlpm.cands,_xlpm.counts=_xlpm.mx)))
)</f>
        <v>0</v>
      </c>
      <c r="I273" t="str">
        <f>_xlfn.XLOOKUP(H273,'Place Profiles'!A:A,'Place Profiles'!B:B,"0")</f>
        <v>0</v>
      </c>
      <c r="J273" t="str">
        <f>_xlfn.XLOOKUP(H273,'Place Profiles'!A:A,'Place Profiles'!C:C,"0")</f>
        <v>0</v>
      </c>
    </row>
    <row r="274" spans="1:10" x14ac:dyDescent="0.45">
      <c r="A274" t="str">
        <v>ID_00273</v>
      </c>
      <c r="B274" t="str">
        <v>1628/05/10</v>
      </c>
      <c r="C274" t="str">
        <v>Siena</v>
      </c>
      <c r="D274" s="10">
        <f>_xlfn.XLOOKUP(C274,'Place Profiles'!A:A,'Place Profiles'!B:B,"0")</f>
        <v>43.3184768539152</v>
      </c>
      <c r="E274" s="10">
        <f>_xlfn.XLOOKUP(C274,'Place Profiles'!A:A,'Place Profiles'!C:C,"0")</f>
        <v>11.3310792700061</v>
      </c>
      <c r="F274" t="str">
        <v>de' Medici, Caterina</v>
      </c>
      <c r="G274" t="str">
        <v>von Habsburg, Maria Magdalena</v>
      </c>
      <c r="H274" t="str" cm="1">
        <f t="array" ref="H274">_xlfn.LET(
_xlpm.t,$G274,
_xlpm.cands,_xlfn._xlws.FILTER('Place Profiles'!$G$2:$G$929,'Place Profiles'!$G$2:$G$929&lt;&gt;""),
_xlpm.counts,COUNTIFS('Raw Data'!$G$2:$G$501,_xlpm.t,'Raw Data'!$F$2:$F$501,_xlpm.cands),
_xlpm.mx,MAX(_xlpm.counts),
IF(_xlpm.mx=0,0,_xlfn.TEXTJOIN(" / ",TRUE,_xlfn._xlws.FILTER(_xlpm.cands,_xlpm.counts=_xlpm.mx)))
)</f>
        <v>Firenze/Fiorenza</v>
      </c>
      <c r="I274">
        <f>_xlfn.XLOOKUP(H274,'Place Profiles'!A:A,'Place Profiles'!B:B,"0")</f>
        <v>43.773821664204803</v>
      </c>
      <c r="J274">
        <f>_xlfn.XLOOKUP(H274,'Place Profiles'!A:A,'Place Profiles'!C:C,"0")</f>
        <v>11.2555362617661</v>
      </c>
    </row>
    <row r="275" spans="1:10" x14ac:dyDescent="0.45">
      <c r="A275" t="str">
        <v>ID_00274</v>
      </c>
      <c r="B275" t="str">
        <v>1629/12/26</v>
      </c>
      <c r="C275" t="str">
        <v>Siena</v>
      </c>
      <c r="D275" s="10">
        <f>_xlfn.XLOOKUP(C275,'Place Profiles'!A:A,'Place Profiles'!B:B,"0")</f>
        <v>43.3184768539152</v>
      </c>
      <c r="E275" s="10">
        <f>_xlfn.XLOOKUP(C275,'Place Profiles'!A:A,'Place Profiles'!C:C,"0")</f>
        <v>11.3310792700061</v>
      </c>
      <c r="F275" t="str">
        <v>Multiple</v>
      </c>
      <c r="G275" t="str">
        <v>von Habsburg, Maria Magdalena</v>
      </c>
      <c r="H275" t="str" cm="1">
        <f t="array" ref="H275">_xlfn.LET(
_xlpm.t,$G275,
_xlpm.cands,_xlfn._xlws.FILTER('Place Profiles'!$G$2:$G$929,'Place Profiles'!$G$2:$G$929&lt;&gt;""),
_xlpm.counts,COUNTIFS('Raw Data'!$G$2:$G$501,_xlpm.t,'Raw Data'!$F$2:$F$501,_xlpm.cands),
_xlpm.mx,MAX(_xlpm.counts),
IF(_xlpm.mx=0,0,_xlfn.TEXTJOIN(" / ",TRUE,_xlfn._xlws.FILTER(_xlpm.cands,_xlpm.counts=_xlpm.mx)))
)</f>
        <v>Firenze/Fiorenza</v>
      </c>
      <c r="I275">
        <f>_xlfn.XLOOKUP(H275,'Place Profiles'!A:A,'Place Profiles'!B:B,"0")</f>
        <v>43.773821664204803</v>
      </c>
      <c r="J275">
        <f>_xlfn.XLOOKUP(H275,'Place Profiles'!A:A,'Place Profiles'!C:C,"0")</f>
        <v>11.2555362617661</v>
      </c>
    </row>
    <row r="276" spans="1:10" x14ac:dyDescent="0.45">
      <c r="A276" t="str">
        <v>ID_00275</v>
      </c>
      <c r="B276" t="str">
        <v>1629/12/22</v>
      </c>
      <c r="C276" t="str">
        <v>Siena</v>
      </c>
      <c r="D276" s="10">
        <f>_xlfn.XLOOKUP(C276,'Place Profiles'!A:A,'Place Profiles'!B:B,"0")</f>
        <v>43.3184768539152</v>
      </c>
      <c r="E276" s="10">
        <f>_xlfn.XLOOKUP(C276,'Place Profiles'!A:A,'Place Profiles'!C:C,"0")</f>
        <v>11.3310792700061</v>
      </c>
      <c r="F276" t="str">
        <v>Illegible</v>
      </c>
      <c r="G276" t="str">
        <v>de' Medici, Ferdinando II</v>
      </c>
      <c r="H276" cm="1">
        <f t="array" ref="H276">_xlfn.LET(
_xlpm.t,$G276,
_xlpm.cands,_xlfn._xlws.FILTER('Place Profiles'!$G$2:$G$929,'Place Profiles'!$G$2:$G$929&lt;&gt;""),
_xlpm.counts,COUNTIFS('Raw Data'!$G$2:$G$501,_xlpm.t,'Raw Data'!$F$2:$F$501,_xlpm.cands),
_xlpm.mx,MAX(_xlpm.counts),
IF(_xlpm.mx=0,0,_xlfn.TEXTJOIN(" / ",TRUE,_xlfn._xlws.FILTER(_xlpm.cands,_xlpm.counts=_xlpm.mx)))
)</f>
        <v>0</v>
      </c>
      <c r="I276" t="str">
        <f>_xlfn.XLOOKUP(H276,'Place Profiles'!A:A,'Place Profiles'!B:B,"0")</f>
        <v>0</v>
      </c>
      <c r="J276" t="str">
        <f>_xlfn.XLOOKUP(H276,'Place Profiles'!A:A,'Place Profiles'!C:C,"0")</f>
        <v>0</v>
      </c>
    </row>
    <row r="277" spans="1:10" x14ac:dyDescent="0.45">
      <c r="A277" t="str">
        <v>ID_00276</v>
      </c>
      <c r="B277" t="str">
        <v>1628/05/23</v>
      </c>
      <c r="C277" t="str">
        <v>Siena</v>
      </c>
      <c r="D277" s="10">
        <f>_xlfn.XLOOKUP(C277,'Place Profiles'!A:A,'Place Profiles'!B:B,"0")</f>
        <v>43.3184768539152</v>
      </c>
      <c r="E277" s="10">
        <f>_xlfn.XLOOKUP(C277,'Place Profiles'!A:A,'Place Profiles'!C:C,"0")</f>
        <v>11.3310792700061</v>
      </c>
      <c r="F277" t="str">
        <v>de' Medici, Caterina</v>
      </c>
      <c r="G277" t="str">
        <v>de' Medici, Ferdinando II</v>
      </c>
      <c r="H277" cm="1">
        <f t="array" ref="H277">_xlfn.LET(
_xlpm.t,$G277,
_xlpm.cands,_xlfn._xlws.FILTER('Place Profiles'!$G$2:$G$929,'Place Profiles'!$G$2:$G$929&lt;&gt;""),
_xlpm.counts,COUNTIFS('Raw Data'!$G$2:$G$501,_xlpm.t,'Raw Data'!$F$2:$F$501,_xlpm.cands),
_xlpm.mx,MAX(_xlpm.counts),
IF(_xlpm.mx=0,0,_xlfn.TEXTJOIN(" / ",TRUE,_xlfn._xlws.FILTER(_xlpm.cands,_xlpm.counts=_xlpm.mx)))
)</f>
        <v>0</v>
      </c>
      <c r="I277" t="str">
        <f>_xlfn.XLOOKUP(H277,'Place Profiles'!A:A,'Place Profiles'!B:B,"0")</f>
        <v>0</v>
      </c>
      <c r="J277" t="str">
        <f>_xlfn.XLOOKUP(H277,'Place Profiles'!A:A,'Place Profiles'!C:C,"0")</f>
        <v>0</v>
      </c>
    </row>
    <row r="278" spans="1:10" x14ac:dyDescent="0.45">
      <c r="A278" t="str">
        <v>ID_00277</v>
      </c>
      <c r="B278" t="str">
        <v>1630/02/11</v>
      </c>
      <c r="C278" t="str">
        <v>Siena</v>
      </c>
      <c r="D278" s="10">
        <f>_xlfn.XLOOKUP(C278,'Place Profiles'!A:A,'Place Profiles'!B:B,"0")</f>
        <v>43.3184768539152</v>
      </c>
      <c r="E278" s="10">
        <f>_xlfn.XLOOKUP(C278,'Place Profiles'!A:A,'Place Profiles'!C:C,"0")</f>
        <v>11.3310792700061</v>
      </c>
      <c r="F278" t="str">
        <v>Gio Ranion</v>
      </c>
      <c r="G278" t="str">
        <v>de' Medici, Ferdinando II</v>
      </c>
      <c r="H278" cm="1">
        <f t="array" ref="H278">_xlfn.LET(
_xlpm.t,$G278,
_xlpm.cands,_xlfn._xlws.FILTER('Place Profiles'!$G$2:$G$929,'Place Profiles'!$G$2:$G$929&lt;&gt;""),
_xlpm.counts,COUNTIFS('Raw Data'!$G$2:$G$501,_xlpm.t,'Raw Data'!$F$2:$F$501,_xlpm.cands),
_xlpm.mx,MAX(_xlpm.counts),
IF(_xlpm.mx=0,0,_xlfn.TEXTJOIN(" / ",TRUE,_xlfn._xlws.FILTER(_xlpm.cands,_xlpm.counts=_xlpm.mx)))
)</f>
        <v>0</v>
      </c>
      <c r="I278" t="str">
        <f>_xlfn.XLOOKUP(H278,'Place Profiles'!A:A,'Place Profiles'!B:B,"0")</f>
        <v>0</v>
      </c>
      <c r="J278" t="str">
        <f>_xlfn.XLOOKUP(H278,'Place Profiles'!A:A,'Place Profiles'!C:C,"0")</f>
        <v>0</v>
      </c>
    </row>
    <row r="279" spans="1:10" x14ac:dyDescent="0.45">
      <c r="A279" t="str">
        <v>ID_00278</v>
      </c>
      <c r="B279" t="str">
        <v>1628/05/30</v>
      </c>
      <c r="C279" t="str">
        <v>Siena</v>
      </c>
      <c r="D279" s="10">
        <f>_xlfn.XLOOKUP(C279,'Place Profiles'!A:A,'Place Profiles'!B:B,"0")</f>
        <v>43.3184768539152</v>
      </c>
      <c r="E279" s="10">
        <f>_xlfn.XLOOKUP(C279,'Place Profiles'!A:A,'Place Profiles'!C:C,"0")</f>
        <v>11.3310792700061</v>
      </c>
      <c r="F279" t="str">
        <v>de' Medici, Caterina</v>
      </c>
      <c r="G279" t="str">
        <v>von Habsburg, Maria Magdalena</v>
      </c>
      <c r="H279" t="str" cm="1">
        <f t="array" ref="H279">_xlfn.LET(
_xlpm.t,$G279,
_xlpm.cands,_xlfn._xlws.FILTER('Place Profiles'!$G$2:$G$929,'Place Profiles'!$G$2:$G$929&lt;&gt;""),
_xlpm.counts,COUNTIFS('Raw Data'!$G$2:$G$501,_xlpm.t,'Raw Data'!$F$2:$F$501,_xlpm.cands),
_xlpm.mx,MAX(_xlpm.counts),
IF(_xlpm.mx=0,0,_xlfn.TEXTJOIN(" / ",TRUE,_xlfn._xlws.FILTER(_xlpm.cands,_xlpm.counts=_xlpm.mx)))
)</f>
        <v>Firenze/Fiorenza</v>
      </c>
      <c r="I279">
        <f>_xlfn.XLOOKUP(H279,'Place Profiles'!A:A,'Place Profiles'!B:B,"0")</f>
        <v>43.773821664204803</v>
      </c>
      <c r="J279">
        <f>_xlfn.XLOOKUP(H279,'Place Profiles'!A:A,'Place Profiles'!C:C,"0")</f>
        <v>11.2555362617661</v>
      </c>
    </row>
    <row r="280" spans="1:10" x14ac:dyDescent="0.45">
      <c r="A280" t="str">
        <v>ID_00279</v>
      </c>
      <c r="B280" t="str">
        <v>1630/03/18</v>
      </c>
      <c r="C280" t="str">
        <v>Sartirana</v>
      </c>
      <c r="D280" s="10">
        <f>_xlfn.XLOOKUP(C280,'Place Profiles'!A:A,'Place Profiles'!B:B,"0")</f>
        <v>0</v>
      </c>
      <c r="E280" s="10">
        <f>_xlfn.XLOOKUP(C280,'Place Profiles'!A:A,'Place Profiles'!C:C,"0")</f>
        <v>0</v>
      </c>
      <c r="F280" t="str">
        <v>Illegible</v>
      </c>
      <c r="G280" t="str">
        <v>de' Medici, Ferdinando II</v>
      </c>
      <c r="H280" cm="1">
        <f t="array" ref="H280">_xlfn.LET(
_xlpm.t,$G280,
_xlpm.cands,_xlfn._xlws.FILTER('Place Profiles'!$G$2:$G$929,'Place Profiles'!$G$2:$G$929&lt;&gt;""),
_xlpm.counts,COUNTIFS('Raw Data'!$G$2:$G$501,_xlpm.t,'Raw Data'!$F$2:$F$501,_xlpm.cands),
_xlpm.mx,MAX(_xlpm.counts),
IF(_xlpm.mx=0,0,_xlfn.TEXTJOIN(" / ",TRUE,_xlfn._xlws.FILTER(_xlpm.cands,_xlpm.counts=_xlpm.mx)))
)</f>
        <v>0</v>
      </c>
      <c r="I280" t="str">
        <f>_xlfn.XLOOKUP(H280,'Place Profiles'!A:A,'Place Profiles'!B:B,"0")</f>
        <v>0</v>
      </c>
      <c r="J280" t="str">
        <f>_xlfn.XLOOKUP(H280,'Place Profiles'!A:A,'Place Profiles'!C:C,"0")</f>
        <v>0</v>
      </c>
    </row>
    <row r="281" spans="1:10" x14ac:dyDescent="0.45">
      <c r="A281" t="str">
        <v>ID_00280</v>
      </c>
      <c r="B281" t="str">
        <v>1630/06/20</v>
      </c>
      <c r="C281" t="str">
        <v>Acquapend.te</v>
      </c>
      <c r="D281" s="10">
        <f>_xlfn.XLOOKUP(C281,'Place Profiles'!A:A,'Place Profiles'!B:B,"0")</f>
        <v>42.745150736491603</v>
      </c>
      <c r="E281" s="10">
        <f>_xlfn.XLOOKUP(C281,'Place Profiles'!A:A,'Place Profiles'!C:C,"0")</f>
        <v>11.8639826068317</v>
      </c>
      <c r="F281" t="str">
        <v>Vitelli, Francesco</v>
      </c>
      <c r="G281" t="str">
        <v>de' Medici, Ferdinando II</v>
      </c>
      <c r="H281" cm="1">
        <f t="array" ref="H281">_xlfn.LET(
_xlpm.t,$G281,
_xlpm.cands,_xlfn._xlws.FILTER('Place Profiles'!$G$2:$G$929,'Place Profiles'!$G$2:$G$929&lt;&gt;""),
_xlpm.counts,COUNTIFS('Raw Data'!$G$2:$G$501,_xlpm.t,'Raw Data'!$F$2:$F$501,_xlpm.cands),
_xlpm.mx,MAX(_xlpm.counts),
IF(_xlpm.mx=0,0,_xlfn.TEXTJOIN(" / ",TRUE,_xlfn._xlws.FILTER(_xlpm.cands,_xlpm.counts=_xlpm.mx)))
)</f>
        <v>0</v>
      </c>
      <c r="I281" t="str">
        <f>_xlfn.XLOOKUP(H281,'Place Profiles'!A:A,'Place Profiles'!B:B,"0")</f>
        <v>0</v>
      </c>
      <c r="J281" t="str">
        <f>_xlfn.XLOOKUP(H281,'Place Profiles'!A:A,'Place Profiles'!C:C,"0")</f>
        <v>0</v>
      </c>
    </row>
    <row r="282" spans="1:10" x14ac:dyDescent="0.45">
      <c r="A282" t="str">
        <v>ID_00281</v>
      </c>
      <c r="B282" t="str">
        <v>1630/00/16</v>
      </c>
      <c r="C282" t="str">
        <v>Unknown</v>
      </c>
      <c r="D282" s="10">
        <f>_xlfn.XLOOKUP(C282,'Place Profiles'!A:A,'Place Profiles'!B:B,"0")</f>
        <v>0</v>
      </c>
      <c r="E282" s="10">
        <f>_xlfn.XLOOKUP(C282,'Place Profiles'!A:A,'Place Profiles'!C:C,"0")</f>
        <v>0</v>
      </c>
      <c r="F282" t="str">
        <v>Naldi, Lodovico</v>
      </c>
      <c r="G282" t="str">
        <v>de' Medici, Ferdinando II</v>
      </c>
      <c r="H282" cm="1">
        <f t="array" ref="H282">_xlfn.LET(
_xlpm.t,$G282,
_xlpm.cands,_xlfn._xlws.FILTER('Place Profiles'!$G$2:$G$929,'Place Profiles'!$G$2:$G$929&lt;&gt;""),
_xlpm.counts,COUNTIFS('Raw Data'!$G$2:$G$501,_xlpm.t,'Raw Data'!$F$2:$F$501,_xlpm.cands),
_xlpm.mx,MAX(_xlpm.counts),
IF(_xlpm.mx=0,0,_xlfn.TEXTJOIN(" / ",TRUE,_xlfn._xlws.FILTER(_xlpm.cands,_xlpm.counts=_xlpm.mx)))
)</f>
        <v>0</v>
      </c>
      <c r="I282" t="str">
        <f>_xlfn.XLOOKUP(H282,'Place Profiles'!A:A,'Place Profiles'!B:B,"0")</f>
        <v>0</v>
      </c>
      <c r="J282" t="str">
        <f>_xlfn.XLOOKUP(H282,'Place Profiles'!A:A,'Place Profiles'!C:C,"0")</f>
        <v>0</v>
      </c>
    </row>
    <row r="283" spans="1:10" x14ac:dyDescent="0.45">
      <c r="A283" t="str">
        <v>ID_00282</v>
      </c>
      <c r="B283" t="str">
        <v>1622/06/19</v>
      </c>
      <c r="C283" t="str">
        <v>Siena</v>
      </c>
      <c r="D283" s="10">
        <f>_xlfn.XLOOKUP(C283,'Place Profiles'!A:A,'Place Profiles'!B:B,"0")</f>
        <v>43.3184768539152</v>
      </c>
      <c r="E283" s="10">
        <f>_xlfn.XLOOKUP(C283,'Place Profiles'!A:A,'Place Profiles'!C:C,"0")</f>
        <v>11.3310792700061</v>
      </c>
      <c r="F283" t="str">
        <v>Bronacursi, Jacopo</v>
      </c>
      <c r="G283" t="str">
        <v>von Habsburg, Maria Magdalena</v>
      </c>
      <c r="H283" t="str" cm="1">
        <f t="array" ref="H283">_xlfn.LET(
_xlpm.t,$G283,
_xlpm.cands,_xlfn._xlws.FILTER('Place Profiles'!$G$2:$G$929,'Place Profiles'!$G$2:$G$929&lt;&gt;""),
_xlpm.counts,COUNTIFS('Raw Data'!$G$2:$G$501,_xlpm.t,'Raw Data'!$F$2:$F$501,_xlpm.cands),
_xlpm.mx,MAX(_xlpm.counts),
IF(_xlpm.mx=0,0,_xlfn.TEXTJOIN(" / ",TRUE,_xlfn._xlws.FILTER(_xlpm.cands,_xlpm.counts=_xlpm.mx)))
)</f>
        <v>Firenze/Fiorenza</v>
      </c>
      <c r="I283">
        <f>_xlfn.XLOOKUP(H283,'Place Profiles'!A:A,'Place Profiles'!B:B,"0")</f>
        <v>43.773821664204803</v>
      </c>
      <c r="J283">
        <f>_xlfn.XLOOKUP(H283,'Place Profiles'!A:A,'Place Profiles'!C:C,"0")</f>
        <v>11.2555362617661</v>
      </c>
    </row>
    <row r="284" spans="1:10" x14ac:dyDescent="0.45">
      <c r="A284" t="str">
        <v>ID_00283</v>
      </c>
      <c r="B284" t="str">
        <v>1627/02/21</v>
      </c>
      <c r="C284" t="str">
        <v>Siena</v>
      </c>
      <c r="D284" s="10">
        <f>_xlfn.XLOOKUP(C284,'Place Profiles'!A:A,'Place Profiles'!B:B,"0")</f>
        <v>43.3184768539152</v>
      </c>
      <c r="E284" s="10">
        <f>_xlfn.XLOOKUP(C284,'Place Profiles'!A:A,'Place Profiles'!C:C,"0")</f>
        <v>11.3310792700061</v>
      </c>
      <c r="F284" t="str">
        <v>de' Medici, Caterina</v>
      </c>
      <c r="G284" t="str">
        <v>Unknown</v>
      </c>
      <c r="H284" t="str" cm="1">
        <f t="array" ref="H284">_xlfn.LET(
_xlpm.t,$G284,
_xlpm.cands,_xlfn._xlws.FILTER('Place Profiles'!$G$2:$G$929,'Place Profiles'!$G$2:$G$929&lt;&gt;""),
_xlpm.counts,COUNTIFS('Raw Data'!$G$2:$G$501,_xlpm.t,'Raw Data'!$F$2:$F$501,_xlpm.cands),
_xlpm.mx,MAX(_xlpm.counts),
IF(_xlpm.mx=0,0,_xlfn.TEXTJOIN(" / ",TRUE,_xlfn._xlws.FILTER(_xlpm.cands,_xlpm.counts=_xlpm.mx)))
)</f>
        <v>Unknown</v>
      </c>
      <c r="I284">
        <f>_xlfn.XLOOKUP(H284,'Place Profiles'!A:A,'Place Profiles'!B:B,"0")</f>
        <v>0</v>
      </c>
      <c r="J284">
        <f>_xlfn.XLOOKUP(H284,'Place Profiles'!A:A,'Place Profiles'!C:C,"0")</f>
        <v>0</v>
      </c>
    </row>
    <row r="285" spans="1:10" x14ac:dyDescent="0.45">
      <c r="A285" t="str">
        <v>ID_00284</v>
      </c>
      <c r="B285" t="str">
        <v>1630/08/19</v>
      </c>
      <c r="C285" t="str">
        <v>Siena</v>
      </c>
      <c r="D285" s="10">
        <f>_xlfn.XLOOKUP(C285,'Place Profiles'!A:A,'Place Profiles'!B:B,"0")</f>
        <v>43.3184768539152</v>
      </c>
      <c r="E285" s="10">
        <f>_xlfn.XLOOKUP(C285,'Place Profiles'!A:A,'Place Profiles'!C:C,"0")</f>
        <v>11.3310792700061</v>
      </c>
      <c r="F285" t="str">
        <v>Multiple</v>
      </c>
      <c r="G285" t="str">
        <v>de' Medici, Ferdinando II</v>
      </c>
      <c r="H285" cm="1">
        <f t="array" ref="H285">_xlfn.LET(
_xlpm.t,$G285,
_xlpm.cands,_xlfn._xlws.FILTER('Place Profiles'!$G$2:$G$929,'Place Profiles'!$G$2:$G$929&lt;&gt;""),
_xlpm.counts,COUNTIFS('Raw Data'!$G$2:$G$501,_xlpm.t,'Raw Data'!$F$2:$F$501,_xlpm.cands),
_xlpm.mx,MAX(_xlpm.counts),
IF(_xlpm.mx=0,0,_xlfn.TEXTJOIN(" / ",TRUE,_xlfn._xlws.FILTER(_xlpm.cands,_xlpm.counts=_xlpm.mx)))
)</f>
        <v>0</v>
      </c>
      <c r="I285" t="str">
        <f>_xlfn.XLOOKUP(H285,'Place Profiles'!A:A,'Place Profiles'!B:B,"0")</f>
        <v>0</v>
      </c>
      <c r="J285" t="str">
        <f>_xlfn.XLOOKUP(H285,'Place Profiles'!A:A,'Place Profiles'!C:C,"0")</f>
        <v>0</v>
      </c>
    </row>
    <row r="286" spans="1:10" x14ac:dyDescent="0.45">
      <c r="A286" t="str">
        <v>ID_00285</v>
      </c>
      <c r="B286" t="str">
        <v>1630/08/27</v>
      </c>
      <c r="C286" t="str">
        <v>Siena</v>
      </c>
      <c r="D286" s="10">
        <f>_xlfn.XLOOKUP(C286,'Place Profiles'!A:A,'Place Profiles'!B:B,"0")</f>
        <v>43.3184768539152</v>
      </c>
      <c r="E286" s="10">
        <f>_xlfn.XLOOKUP(C286,'Place Profiles'!A:A,'Place Profiles'!C:C,"0")</f>
        <v>11.3310792700061</v>
      </c>
      <c r="F286" t="str">
        <v>Illegible</v>
      </c>
      <c r="G286" t="str">
        <v>von Habsburg, Maria Magdalena</v>
      </c>
      <c r="H286" t="str" cm="1">
        <f t="array" ref="H286">_xlfn.LET(
_xlpm.t,$G286,
_xlpm.cands,_xlfn._xlws.FILTER('Place Profiles'!$G$2:$G$929,'Place Profiles'!$G$2:$G$929&lt;&gt;""),
_xlpm.counts,COUNTIFS('Raw Data'!$G$2:$G$501,_xlpm.t,'Raw Data'!$F$2:$F$501,_xlpm.cands),
_xlpm.mx,MAX(_xlpm.counts),
IF(_xlpm.mx=0,0,_xlfn.TEXTJOIN(" / ",TRUE,_xlfn._xlws.FILTER(_xlpm.cands,_xlpm.counts=_xlpm.mx)))
)</f>
        <v>Firenze/Fiorenza</v>
      </c>
      <c r="I286">
        <f>_xlfn.XLOOKUP(H286,'Place Profiles'!A:A,'Place Profiles'!B:B,"0")</f>
        <v>43.773821664204803</v>
      </c>
      <c r="J286">
        <f>_xlfn.XLOOKUP(H286,'Place Profiles'!A:A,'Place Profiles'!C:C,"0")</f>
        <v>11.2555362617661</v>
      </c>
    </row>
    <row r="287" spans="1:10" x14ac:dyDescent="0.45">
      <c r="A287" t="str">
        <v>ID_00286</v>
      </c>
      <c r="B287" t="str">
        <v>1630/08/28</v>
      </c>
      <c r="C287" t="str">
        <v>Siena</v>
      </c>
      <c r="D287" s="10">
        <f>_xlfn.XLOOKUP(C287,'Place Profiles'!A:A,'Place Profiles'!B:B,"0")</f>
        <v>43.3184768539152</v>
      </c>
      <c r="E287" s="10">
        <f>_xlfn.XLOOKUP(C287,'Place Profiles'!A:A,'Place Profiles'!C:C,"0")</f>
        <v>11.3310792700061</v>
      </c>
      <c r="F287" t="str">
        <v>Illegible</v>
      </c>
      <c r="G287" t="str">
        <v>de' Medici, Ferdinando II</v>
      </c>
      <c r="H287" cm="1">
        <f t="array" ref="H287">_xlfn.LET(
_xlpm.t,$G287,
_xlpm.cands,_xlfn._xlws.FILTER('Place Profiles'!$G$2:$G$929,'Place Profiles'!$G$2:$G$929&lt;&gt;""),
_xlpm.counts,COUNTIFS('Raw Data'!$G$2:$G$501,_xlpm.t,'Raw Data'!$F$2:$F$501,_xlpm.cands),
_xlpm.mx,MAX(_xlpm.counts),
IF(_xlpm.mx=0,0,_xlfn.TEXTJOIN(" / ",TRUE,_xlfn._xlws.FILTER(_xlpm.cands,_xlpm.counts=_xlpm.mx)))
)</f>
        <v>0</v>
      </c>
      <c r="I287" t="str">
        <f>_xlfn.XLOOKUP(H287,'Place Profiles'!A:A,'Place Profiles'!B:B,"0")</f>
        <v>0</v>
      </c>
      <c r="J287" t="str">
        <f>_xlfn.XLOOKUP(H287,'Place Profiles'!A:A,'Place Profiles'!C:C,"0")</f>
        <v>0</v>
      </c>
    </row>
    <row r="288" spans="1:10" x14ac:dyDescent="0.45">
      <c r="A288" t="str">
        <v>ID_00287</v>
      </c>
      <c r="B288" t="str">
        <v>1630/09/18</v>
      </c>
      <c r="C288" t="str">
        <v>Siena</v>
      </c>
      <c r="D288" s="10">
        <f>_xlfn.XLOOKUP(C288,'Place Profiles'!A:A,'Place Profiles'!B:B,"0")</f>
        <v>43.3184768539152</v>
      </c>
      <c r="E288" s="10">
        <f>_xlfn.XLOOKUP(C288,'Place Profiles'!A:A,'Place Profiles'!C:C,"0")</f>
        <v>11.3310792700061</v>
      </c>
      <c r="F288" t="str">
        <v>Petrucci, Gio.batta</v>
      </c>
      <c r="G288" t="str">
        <v>de' Medici, Ferdinando II</v>
      </c>
      <c r="H288" cm="1">
        <f t="array" ref="H288">_xlfn.LET(
_xlpm.t,$G288,
_xlpm.cands,_xlfn._xlws.FILTER('Place Profiles'!$G$2:$G$929,'Place Profiles'!$G$2:$G$929&lt;&gt;""),
_xlpm.counts,COUNTIFS('Raw Data'!$G$2:$G$501,_xlpm.t,'Raw Data'!$F$2:$F$501,_xlpm.cands),
_xlpm.mx,MAX(_xlpm.counts),
IF(_xlpm.mx=0,0,_xlfn.TEXTJOIN(" / ",TRUE,_xlfn._xlws.FILTER(_xlpm.cands,_xlpm.counts=_xlpm.mx)))
)</f>
        <v>0</v>
      </c>
      <c r="I288" t="str">
        <f>_xlfn.XLOOKUP(H288,'Place Profiles'!A:A,'Place Profiles'!B:B,"0")</f>
        <v>0</v>
      </c>
      <c r="J288" t="str">
        <f>_xlfn.XLOOKUP(H288,'Place Profiles'!A:A,'Place Profiles'!C:C,"0")</f>
        <v>0</v>
      </c>
    </row>
    <row r="289" spans="1:10" x14ac:dyDescent="0.45">
      <c r="A289" t="str">
        <v>ID_00288</v>
      </c>
      <c r="B289" t="str">
        <v>0000/00/00</v>
      </c>
      <c r="C289" t="str">
        <v>Siena</v>
      </c>
      <c r="D289" s="10">
        <f>_xlfn.XLOOKUP(C289,'Place Profiles'!A:A,'Place Profiles'!B:B,"0")</f>
        <v>43.3184768539152</v>
      </c>
      <c r="E289" s="10">
        <f>_xlfn.XLOOKUP(C289,'Place Profiles'!A:A,'Place Profiles'!C:C,"0")</f>
        <v>11.3310792700061</v>
      </c>
      <c r="F289" t="str">
        <v>Colomba</v>
      </c>
      <c r="G289" t="str">
        <v>von Habsburg, Maria Magdalena</v>
      </c>
      <c r="H289" t="str" cm="1">
        <f t="array" ref="H289">_xlfn.LET(
_xlpm.t,$G289,
_xlpm.cands,_xlfn._xlws.FILTER('Place Profiles'!$G$2:$G$929,'Place Profiles'!$G$2:$G$929&lt;&gt;""),
_xlpm.counts,COUNTIFS('Raw Data'!$G$2:$G$501,_xlpm.t,'Raw Data'!$F$2:$F$501,_xlpm.cands),
_xlpm.mx,MAX(_xlpm.counts),
IF(_xlpm.mx=0,0,_xlfn.TEXTJOIN(" / ",TRUE,_xlfn._xlws.FILTER(_xlpm.cands,_xlpm.counts=_xlpm.mx)))
)</f>
        <v>Firenze/Fiorenza</v>
      </c>
      <c r="I289">
        <f>_xlfn.XLOOKUP(H289,'Place Profiles'!A:A,'Place Profiles'!B:B,"0")</f>
        <v>43.773821664204803</v>
      </c>
      <c r="J289">
        <f>_xlfn.XLOOKUP(H289,'Place Profiles'!A:A,'Place Profiles'!C:C,"0")</f>
        <v>11.2555362617661</v>
      </c>
    </row>
    <row r="290" spans="1:10" x14ac:dyDescent="0.45">
      <c r="A290" t="str">
        <v>ID_00289</v>
      </c>
      <c r="B290" t="str">
        <v>0000/00/00</v>
      </c>
      <c r="C290" t="str">
        <v>Siena</v>
      </c>
      <c r="D290" s="10">
        <f>_xlfn.XLOOKUP(C290,'Place Profiles'!A:A,'Place Profiles'!B:B,"0")</f>
        <v>43.3184768539152</v>
      </c>
      <c r="E290" s="10">
        <f>_xlfn.XLOOKUP(C290,'Place Profiles'!A:A,'Place Profiles'!C:C,"0")</f>
        <v>11.3310792700061</v>
      </c>
      <c r="F290" t="str">
        <v>Colomba</v>
      </c>
      <c r="G290" t="str">
        <v>von Habsburg, Maria Magdalena</v>
      </c>
      <c r="H290" t="str" cm="1">
        <f t="array" ref="H290">_xlfn.LET(
_xlpm.t,$G290,
_xlpm.cands,_xlfn._xlws.FILTER('Place Profiles'!$G$2:$G$929,'Place Profiles'!$G$2:$G$929&lt;&gt;""),
_xlpm.counts,COUNTIFS('Raw Data'!$G$2:$G$501,_xlpm.t,'Raw Data'!$F$2:$F$501,_xlpm.cands),
_xlpm.mx,MAX(_xlpm.counts),
IF(_xlpm.mx=0,0,_xlfn.TEXTJOIN(" / ",TRUE,_xlfn._xlws.FILTER(_xlpm.cands,_xlpm.counts=_xlpm.mx)))
)</f>
        <v>Firenze/Fiorenza</v>
      </c>
      <c r="I290">
        <f>_xlfn.XLOOKUP(H290,'Place Profiles'!A:A,'Place Profiles'!B:B,"0")</f>
        <v>43.773821664204803</v>
      </c>
      <c r="J290">
        <f>_xlfn.XLOOKUP(H290,'Place Profiles'!A:A,'Place Profiles'!C:C,"0")</f>
        <v>11.2555362617661</v>
      </c>
    </row>
    <row r="291" spans="1:10" x14ac:dyDescent="0.45">
      <c r="A291" t="str">
        <v>ID_00290</v>
      </c>
      <c r="B291" t="str">
        <v>1628/05/23</v>
      </c>
      <c r="C291" t="str">
        <v>Siena</v>
      </c>
      <c r="D291" s="10">
        <f>_xlfn.XLOOKUP(C291,'Place Profiles'!A:A,'Place Profiles'!B:B,"0")</f>
        <v>43.3184768539152</v>
      </c>
      <c r="E291" s="10">
        <f>_xlfn.XLOOKUP(C291,'Place Profiles'!A:A,'Place Profiles'!C:C,"0")</f>
        <v>11.3310792700061</v>
      </c>
      <c r="F291" t="str">
        <v>de' Medici, Caterina</v>
      </c>
      <c r="G291" t="str">
        <v>von Habsburg, Maria Magdalena</v>
      </c>
      <c r="H291" t="str" cm="1">
        <f t="array" ref="H291">_xlfn.LET(
_xlpm.t,$G291,
_xlpm.cands,_xlfn._xlws.FILTER('Place Profiles'!$G$2:$G$929,'Place Profiles'!$G$2:$G$929&lt;&gt;""),
_xlpm.counts,COUNTIFS('Raw Data'!$G$2:$G$501,_xlpm.t,'Raw Data'!$F$2:$F$501,_xlpm.cands),
_xlpm.mx,MAX(_xlpm.counts),
IF(_xlpm.mx=0,0,_xlfn.TEXTJOIN(" / ",TRUE,_xlfn._xlws.FILTER(_xlpm.cands,_xlpm.counts=_xlpm.mx)))
)</f>
        <v>Firenze/Fiorenza</v>
      </c>
      <c r="I291">
        <f>_xlfn.XLOOKUP(H291,'Place Profiles'!A:A,'Place Profiles'!B:B,"0")</f>
        <v>43.773821664204803</v>
      </c>
      <c r="J291">
        <f>_xlfn.XLOOKUP(H291,'Place Profiles'!A:A,'Place Profiles'!C:C,"0")</f>
        <v>11.2555362617661</v>
      </c>
    </row>
    <row r="292" spans="1:10" x14ac:dyDescent="0.45">
      <c r="A292" t="str">
        <v>ID_00291</v>
      </c>
      <c r="B292" t="str">
        <v>1628/06/04</v>
      </c>
      <c r="C292" t="str">
        <v>Siena</v>
      </c>
      <c r="D292" s="10">
        <f>_xlfn.XLOOKUP(C292,'Place Profiles'!A:A,'Place Profiles'!B:B,"0")</f>
        <v>43.3184768539152</v>
      </c>
      <c r="E292" s="10">
        <f>_xlfn.XLOOKUP(C292,'Place Profiles'!A:A,'Place Profiles'!C:C,"0")</f>
        <v>11.3310792700061</v>
      </c>
      <c r="F292" t="str">
        <v>de' Medici, Caterina</v>
      </c>
      <c r="G292" t="str">
        <v>von Habsburg, Maria Magdalena</v>
      </c>
      <c r="H292" t="str" cm="1">
        <f t="array" ref="H292">_xlfn.LET(
_xlpm.t,$G292,
_xlpm.cands,_xlfn._xlws.FILTER('Place Profiles'!$G$2:$G$929,'Place Profiles'!$G$2:$G$929&lt;&gt;""),
_xlpm.counts,COUNTIFS('Raw Data'!$G$2:$G$501,_xlpm.t,'Raw Data'!$F$2:$F$501,_xlpm.cands),
_xlpm.mx,MAX(_xlpm.counts),
IF(_xlpm.mx=0,0,_xlfn.TEXTJOIN(" / ",TRUE,_xlfn._xlws.FILTER(_xlpm.cands,_xlpm.counts=_xlpm.mx)))
)</f>
        <v>Firenze/Fiorenza</v>
      </c>
      <c r="I292">
        <f>_xlfn.XLOOKUP(H292,'Place Profiles'!A:A,'Place Profiles'!B:B,"0")</f>
        <v>43.773821664204803</v>
      </c>
      <c r="J292">
        <f>_xlfn.XLOOKUP(H292,'Place Profiles'!A:A,'Place Profiles'!C:C,"0")</f>
        <v>11.2555362617661</v>
      </c>
    </row>
    <row r="293" spans="1:10" x14ac:dyDescent="0.45">
      <c r="A293" t="str">
        <v>ID_00292</v>
      </c>
      <c r="B293" t="str">
        <v>1630/10/06</v>
      </c>
      <c r="C293" t="str">
        <v>Soriano</v>
      </c>
      <c r="D293" s="10">
        <f>_xlfn.XLOOKUP(C293,'Place Profiles'!A:A,'Place Profiles'!B:B,"0")</f>
        <v>42.4188373052272</v>
      </c>
      <c r="E293" s="10">
        <f>_xlfn.XLOOKUP(C293,'Place Profiles'!A:A,'Place Profiles'!C:C,"0")</f>
        <v>12.2340729864535</v>
      </c>
      <c r="F293" t="str">
        <v>Alse____, Pietro</v>
      </c>
      <c r="G293" t="str">
        <v>de' Medici, Ferdinando II</v>
      </c>
      <c r="H293" cm="1">
        <f t="array" ref="H293">_xlfn.LET(
_xlpm.t,$G293,
_xlpm.cands,_xlfn._xlws.FILTER('Place Profiles'!$G$2:$G$929,'Place Profiles'!$G$2:$G$929&lt;&gt;""),
_xlpm.counts,COUNTIFS('Raw Data'!$G$2:$G$501,_xlpm.t,'Raw Data'!$F$2:$F$501,_xlpm.cands),
_xlpm.mx,MAX(_xlpm.counts),
IF(_xlpm.mx=0,0,_xlfn.TEXTJOIN(" / ",TRUE,_xlfn._xlws.FILTER(_xlpm.cands,_xlpm.counts=_xlpm.mx)))
)</f>
        <v>0</v>
      </c>
      <c r="I293" t="str">
        <f>_xlfn.XLOOKUP(H293,'Place Profiles'!A:A,'Place Profiles'!B:B,"0")</f>
        <v>0</v>
      </c>
      <c r="J293" t="str">
        <f>_xlfn.XLOOKUP(H293,'Place Profiles'!A:A,'Place Profiles'!C:C,"0")</f>
        <v>0</v>
      </c>
    </row>
    <row r="294" spans="1:10" x14ac:dyDescent="0.45">
      <c r="A294" t="str">
        <v>ID_00293</v>
      </c>
      <c r="B294" t="str">
        <v>1628/06/07</v>
      </c>
      <c r="C294" t="str">
        <v>Siena</v>
      </c>
      <c r="D294" s="10">
        <f>_xlfn.XLOOKUP(C294,'Place Profiles'!A:A,'Place Profiles'!B:B,"0")</f>
        <v>43.3184768539152</v>
      </c>
      <c r="E294" s="10">
        <f>_xlfn.XLOOKUP(C294,'Place Profiles'!A:A,'Place Profiles'!C:C,"0")</f>
        <v>11.3310792700061</v>
      </c>
      <c r="F294" t="str">
        <v>de' Medici, Caterina</v>
      </c>
      <c r="G294" t="str">
        <v>de' Medici, Ferdinando II</v>
      </c>
      <c r="H294" cm="1">
        <f t="array" ref="H294">_xlfn.LET(
_xlpm.t,$G294,
_xlpm.cands,_xlfn._xlws.FILTER('Place Profiles'!$G$2:$G$929,'Place Profiles'!$G$2:$G$929&lt;&gt;""),
_xlpm.counts,COUNTIFS('Raw Data'!$G$2:$G$501,_xlpm.t,'Raw Data'!$F$2:$F$501,_xlpm.cands),
_xlpm.mx,MAX(_xlpm.counts),
IF(_xlpm.mx=0,0,_xlfn.TEXTJOIN(" / ",TRUE,_xlfn._xlws.FILTER(_xlpm.cands,_xlpm.counts=_xlpm.mx)))
)</f>
        <v>0</v>
      </c>
      <c r="I294" t="str">
        <f>_xlfn.XLOOKUP(H294,'Place Profiles'!A:A,'Place Profiles'!B:B,"0")</f>
        <v>0</v>
      </c>
      <c r="J294" t="str">
        <f>_xlfn.XLOOKUP(H294,'Place Profiles'!A:A,'Place Profiles'!C:C,"0")</f>
        <v>0</v>
      </c>
    </row>
    <row r="295" spans="1:10" x14ac:dyDescent="0.45">
      <c r="A295" t="str">
        <v>ID_00294</v>
      </c>
      <c r="B295" t="str">
        <v>1630/11/24</v>
      </c>
      <c r="C295" t="str">
        <v>Siena</v>
      </c>
      <c r="D295" s="10">
        <f>_xlfn.XLOOKUP(C295,'Place Profiles'!A:A,'Place Profiles'!B:B,"0")</f>
        <v>43.3184768539152</v>
      </c>
      <c r="E295" s="10">
        <f>_xlfn.XLOOKUP(C295,'Place Profiles'!A:A,'Place Profiles'!C:C,"0")</f>
        <v>11.3310792700061</v>
      </c>
      <c r="F295" t="str">
        <v>Bracci, Jacomo</v>
      </c>
      <c r="G295" t="str">
        <v>de' Medici, Ferdinando II</v>
      </c>
      <c r="H295" cm="1">
        <f t="array" ref="H295">_xlfn.LET(
_xlpm.t,$G295,
_xlpm.cands,_xlfn._xlws.FILTER('Place Profiles'!$G$2:$G$929,'Place Profiles'!$G$2:$G$929&lt;&gt;""),
_xlpm.counts,COUNTIFS('Raw Data'!$G$2:$G$501,_xlpm.t,'Raw Data'!$F$2:$F$501,_xlpm.cands),
_xlpm.mx,MAX(_xlpm.counts),
IF(_xlpm.mx=0,0,_xlfn.TEXTJOIN(" / ",TRUE,_xlfn._xlws.FILTER(_xlpm.cands,_xlpm.counts=_xlpm.mx)))
)</f>
        <v>0</v>
      </c>
      <c r="I295" t="str">
        <f>_xlfn.XLOOKUP(H295,'Place Profiles'!A:A,'Place Profiles'!B:B,"0")</f>
        <v>0</v>
      </c>
      <c r="J295" t="str">
        <f>_xlfn.XLOOKUP(H295,'Place Profiles'!A:A,'Place Profiles'!C:C,"0")</f>
        <v>0</v>
      </c>
    </row>
    <row r="296" spans="1:10" x14ac:dyDescent="0.45">
      <c r="A296" t="str">
        <v>ID_00295</v>
      </c>
      <c r="B296" t="str">
        <v>1622/06/21</v>
      </c>
      <c r="C296" t="str">
        <v>Siena</v>
      </c>
      <c r="D296" s="10">
        <f>_xlfn.XLOOKUP(C296,'Place Profiles'!A:A,'Place Profiles'!B:B,"0")</f>
        <v>43.3184768539152</v>
      </c>
      <c r="E296" s="10">
        <f>_xlfn.XLOOKUP(C296,'Place Profiles'!A:A,'Place Profiles'!C:C,"0")</f>
        <v>11.3310792700061</v>
      </c>
      <c r="F296" t="str">
        <v>Vecchi, Virgilio</v>
      </c>
      <c r="G296" t="str">
        <v>von Habsburg, Maria Magdalena</v>
      </c>
      <c r="H296" t="str" cm="1">
        <f t="array" ref="H296">_xlfn.LET(
_xlpm.t,$G296,
_xlpm.cands,_xlfn._xlws.FILTER('Place Profiles'!$G$2:$G$929,'Place Profiles'!$G$2:$G$929&lt;&gt;""),
_xlpm.counts,COUNTIFS('Raw Data'!$G$2:$G$501,_xlpm.t,'Raw Data'!$F$2:$F$501,_xlpm.cands),
_xlpm.mx,MAX(_xlpm.counts),
IF(_xlpm.mx=0,0,_xlfn.TEXTJOIN(" / ",TRUE,_xlfn._xlws.FILTER(_xlpm.cands,_xlpm.counts=_xlpm.mx)))
)</f>
        <v>Firenze/Fiorenza</v>
      </c>
      <c r="I296">
        <f>_xlfn.XLOOKUP(H296,'Place Profiles'!A:A,'Place Profiles'!B:B,"0")</f>
        <v>43.773821664204803</v>
      </c>
      <c r="J296">
        <f>_xlfn.XLOOKUP(H296,'Place Profiles'!A:A,'Place Profiles'!C:C,"0")</f>
        <v>11.2555362617661</v>
      </c>
    </row>
    <row r="297" spans="1:10" x14ac:dyDescent="0.45">
      <c r="A297" t="str">
        <v>ID_00296</v>
      </c>
      <c r="B297" t="str">
        <v>1627/07/12</v>
      </c>
      <c r="C297" t="str">
        <v>Siena</v>
      </c>
      <c r="D297" s="10">
        <f>_xlfn.XLOOKUP(C297,'Place Profiles'!A:A,'Place Profiles'!B:B,"0")</f>
        <v>43.3184768539152</v>
      </c>
      <c r="E297" s="10">
        <f>_xlfn.XLOOKUP(C297,'Place Profiles'!A:A,'Place Profiles'!C:C,"0")</f>
        <v>11.3310792700061</v>
      </c>
      <c r="F297" t="str">
        <v>de' Medici, Caterina</v>
      </c>
      <c r="G297" t="str">
        <v>Cioli, Andrea</v>
      </c>
      <c r="H297" cm="1">
        <f t="array" ref="H297">_xlfn.LET(
_xlpm.t,$G297,
_xlpm.cands,_xlfn._xlws.FILTER('Place Profiles'!$G$2:$G$929,'Place Profiles'!$G$2:$G$929&lt;&gt;""),
_xlpm.counts,COUNTIFS('Raw Data'!$G$2:$G$501,_xlpm.t,'Raw Data'!$F$2:$F$501,_xlpm.cands),
_xlpm.mx,MAX(_xlpm.counts),
IF(_xlpm.mx=0,0,_xlfn.TEXTJOIN(" / ",TRUE,_xlfn._xlws.FILTER(_xlpm.cands,_xlpm.counts=_xlpm.mx)))
)</f>
        <v>0</v>
      </c>
      <c r="I297" t="str">
        <f>_xlfn.XLOOKUP(H297,'Place Profiles'!A:A,'Place Profiles'!B:B,"0")</f>
        <v>0</v>
      </c>
      <c r="J297" t="str">
        <f>_xlfn.XLOOKUP(H297,'Place Profiles'!A:A,'Place Profiles'!C:C,"0")</f>
        <v>0</v>
      </c>
    </row>
    <row r="298" spans="1:10" x14ac:dyDescent="0.45">
      <c r="A298" t="str">
        <v>ID_00297</v>
      </c>
      <c r="B298" t="str">
        <v>1628/06/12</v>
      </c>
      <c r="C298" t="str">
        <v>Siena</v>
      </c>
      <c r="D298" s="10">
        <f>_xlfn.XLOOKUP(C298,'Place Profiles'!A:A,'Place Profiles'!B:B,"0")</f>
        <v>43.3184768539152</v>
      </c>
      <c r="E298" s="10">
        <f>_xlfn.XLOOKUP(C298,'Place Profiles'!A:A,'Place Profiles'!C:C,"0")</f>
        <v>11.3310792700061</v>
      </c>
      <c r="F298" t="str">
        <v>de' Medici, Caterina</v>
      </c>
      <c r="G298" t="str">
        <v>von Habsburg, Maria Magdalena</v>
      </c>
      <c r="H298" t="str" cm="1">
        <f t="array" ref="H298">_xlfn.LET(
_xlpm.t,$G298,
_xlpm.cands,_xlfn._xlws.FILTER('Place Profiles'!$G$2:$G$929,'Place Profiles'!$G$2:$G$929&lt;&gt;""),
_xlpm.counts,COUNTIFS('Raw Data'!$G$2:$G$501,_xlpm.t,'Raw Data'!$F$2:$F$501,_xlpm.cands),
_xlpm.mx,MAX(_xlpm.counts),
IF(_xlpm.mx=0,0,_xlfn.TEXTJOIN(" / ",TRUE,_xlfn._xlws.FILTER(_xlpm.cands,_xlpm.counts=_xlpm.mx)))
)</f>
        <v>Firenze/Fiorenza</v>
      </c>
      <c r="I298">
        <f>_xlfn.XLOOKUP(H298,'Place Profiles'!A:A,'Place Profiles'!B:B,"0")</f>
        <v>43.773821664204803</v>
      </c>
      <c r="J298">
        <f>_xlfn.XLOOKUP(H298,'Place Profiles'!A:A,'Place Profiles'!C:C,"0")</f>
        <v>11.2555362617661</v>
      </c>
    </row>
    <row r="299" spans="1:10" x14ac:dyDescent="0.45">
      <c r="A299" t="str">
        <v>ID_00298</v>
      </c>
      <c r="B299" t="str">
        <v>1628/06/19</v>
      </c>
      <c r="C299" t="str">
        <v>Siena</v>
      </c>
      <c r="D299" s="10">
        <f>_xlfn.XLOOKUP(C299,'Place Profiles'!A:A,'Place Profiles'!B:B,"0")</f>
        <v>43.3184768539152</v>
      </c>
      <c r="E299" s="10">
        <f>_xlfn.XLOOKUP(C299,'Place Profiles'!A:A,'Place Profiles'!C:C,"0")</f>
        <v>11.3310792700061</v>
      </c>
      <c r="F299" t="str">
        <v>de' Medici, Caterina</v>
      </c>
      <c r="G299" t="str">
        <v>von Habsburg, Maria Magdalena</v>
      </c>
      <c r="H299" t="str" cm="1">
        <f t="array" ref="H299">_xlfn.LET(
_xlpm.t,$G299,
_xlpm.cands,_xlfn._xlws.FILTER('Place Profiles'!$G$2:$G$929,'Place Profiles'!$G$2:$G$929&lt;&gt;""),
_xlpm.counts,COUNTIFS('Raw Data'!$G$2:$G$501,_xlpm.t,'Raw Data'!$F$2:$F$501,_xlpm.cands),
_xlpm.mx,MAX(_xlpm.counts),
IF(_xlpm.mx=0,0,_xlfn.TEXTJOIN(" / ",TRUE,_xlfn._xlws.FILTER(_xlpm.cands,_xlpm.counts=_xlpm.mx)))
)</f>
        <v>Firenze/Fiorenza</v>
      </c>
      <c r="I299">
        <f>_xlfn.XLOOKUP(H299,'Place Profiles'!A:A,'Place Profiles'!B:B,"0")</f>
        <v>43.773821664204803</v>
      </c>
      <c r="J299">
        <f>_xlfn.XLOOKUP(H299,'Place Profiles'!A:A,'Place Profiles'!C:C,"0")</f>
        <v>11.2555362617661</v>
      </c>
    </row>
    <row r="300" spans="1:10" x14ac:dyDescent="0.45">
      <c r="A300" t="str">
        <v>ID_00299</v>
      </c>
      <c r="B300" t="str">
        <v>1628/06/26</v>
      </c>
      <c r="C300" t="str">
        <v>Siena</v>
      </c>
      <c r="D300" s="10">
        <f>_xlfn.XLOOKUP(C300,'Place Profiles'!A:A,'Place Profiles'!B:B,"0")</f>
        <v>43.3184768539152</v>
      </c>
      <c r="E300" s="10">
        <f>_xlfn.XLOOKUP(C300,'Place Profiles'!A:A,'Place Profiles'!C:C,"0")</f>
        <v>11.3310792700061</v>
      </c>
      <c r="F300" t="str">
        <v>de' Medici, Caterina</v>
      </c>
      <c r="G300" t="str">
        <v>von Habsburg, Maria Magdalena</v>
      </c>
      <c r="H300" t="str" cm="1">
        <f t="array" ref="H300">_xlfn.LET(
_xlpm.t,$G300,
_xlpm.cands,_xlfn._xlws.FILTER('Place Profiles'!$G$2:$G$929,'Place Profiles'!$G$2:$G$929&lt;&gt;""),
_xlpm.counts,COUNTIFS('Raw Data'!$G$2:$G$501,_xlpm.t,'Raw Data'!$F$2:$F$501,_xlpm.cands),
_xlpm.mx,MAX(_xlpm.counts),
IF(_xlpm.mx=0,0,_xlfn.TEXTJOIN(" / ",TRUE,_xlfn._xlws.FILTER(_xlpm.cands,_xlpm.counts=_xlpm.mx)))
)</f>
        <v>Firenze/Fiorenza</v>
      </c>
      <c r="I300">
        <f>_xlfn.XLOOKUP(H300,'Place Profiles'!A:A,'Place Profiles'!B:B,"0")</f>
        <v>43.773821664204803</v>
      </c>
      <c r="J300">
        <f>_xlfn.XLOOKUP(H300,'Place Profiles'!A:A,'Place Profiles'!C:C,"0")</f>
        <v>11.2555362617661</v>
      </c>
    </row>
    <row r="301" spans="1:10" x14ac:dyDescent="0.45">
      <c r="A301" t="str">
        <v>ID_00300</v>
      </c>
      <c r="B301" t="str">
        <v>1628/07/11</v>
      </c>
      <c r="C301" t="str">
        <v>Siena</v>
      </c>
      <c r="D301" s="10">
        <f>_xlfn.XLOOKUP(C301,'Place Profiles'!A:A,'Place Profiles'!B:B,"0")</f>
        <v>43.3184768539152</v>
      </c>
      <c r="E301" s="10">
        <f>_xlfn.XLOOKUP(C301,'Place Profiles'!A:A,'Place Profiles'!C:C,"0")</f>
        <v>11.3310792700061</v>
      </c>
      <c r="F301" t="str">
        <v>de' Medici, Caterina</v>
      </c>
      <c r="G301" t="str">
        <v>di Lorena, Cristina</v>
      </c>
      <c r="H301" t="str" cm="1">
        <f t="array" ref="H301">_xlfn.LET(
_xlpm.t,$G301,
_xlpm.cands,_xlfn._xlws.FILTER('Place Profiles'!$G$2:$G$929,'Place Profiles'!$G$2:$G$929&lt;&gt;""),
_xlpm.counts,COUNTIFS('Raw Data'!$G$2:$G$501,_xlpm.t,'Raw Data'!$F$2:$F$501,_xlpm.cands),
_xlpm.mx,MAX(_xlpm.counts),
IF(_xlpm.mx=0,0,_xlfn.TEXTJOIN(" / ",TRUE,_xlfn._xlws.FILTER(_xlpm.cands,_xlpm.counts=_xlpm.mx)))
)</f>
        <v>Firenze/Fiorenza</v>
      </c>
      <c r="I301">
        <f>_xlfn.XLOOKUP(H301,'Place Profiles'!A:A,'Place Profiles'!B:B,"0")</f>
        <v>43.773821664204803</v>
      </c>
      <c r="J301">
        <f>_xlfn.XLOOKUP(H301,'Place Profiles'!A:A,'Place Profiles'!C:C,"0")</f>
        <v>11.2555362617661</v>
      </c>
    </row>
    <row r="302" spans="1:10" x14ac:dyDescent="0.45">
      <c r="A302" t="str">
        <v>ID_00301</v>
      </c>
      <c r="B302" t="str">
        <v>1628/07/11</v>
      </c>
      <c r="C302" t="str">
        <v>Siena</v>
      </c>
      <c r="D302" s="10">
        <f>_xlfn.XLOOKUP(C302,'Place Profiles'!A:A,'Place Profiles'!B:B,"0")</f>
        <v>43.3184768539152</v>
      </c>
      <c r="E302" s="10">
        <f>_xlfn.XLOOKUP(C302,'Place Profiles'!A:A,'Place Profiles'!C:C,"0")</f>
        <v>11.3310792700061</v>
      </c>
      <c r="F302" t="str">
        <v>de' Medici, Caterina</v>
      </c>
      <c r="G302" t="str">
        <v>von Habsburg, Maria Magdalena</v>
      </c>
      <c r="H302" t="str" cm="1">
        <f t="array" ref="H302">_xlfn.LET(
_xlpm.t,$G302,
_xlpm.cands,_xlfn._xlws.FILTER('Place Profiles'!$G$2:$G$929,'Place Profiles'!$G$2:$G$929&lt;&gt;""),
_xlpm.counts,COUNTIFS('Raw Data'!$G$2:$G$501,_xlpm.t,'Raw Data'!$F$2:$F$501,_xlpm.cands),
_xlpm.mx,MAX(_xlpm.counts),
IF(_xlpm.mx=0,0,_xlfn.TEXTJOIN(" / ",TRUE,_xlfn._xlws.FILTER(_xlpm.cands,_xlpm.counts=_xlpm.mx)))
)</f>
        <v>Firenze/Fiorenza</v>
      </c>
      <c r="I302">
        <f>_xlfn.XLOOKUP(H302,'Place Profiles'!A:A,'Place Profiles'!B:B,"0")</f>
        <v>43.773821664204803</v>
      </c>
      <c r="J302">
        <f>_xlfn.XLOOKUP(H302,'Place Profiles'!A:A,'Place Profiles'!C:C,"0")</f>
        <v>11.2555362617661</v>
      </c>
    </row>
    <row r="303" spans="1:10" x14ac:dyDescent="0.45">
      <c r="A303" t="str">
        <v>ID_00302</v>
      </c>
      <c r="B303" t="str">
        <v>1628/07/12</v>
      </c>
      <c r="C303" t="str">
        <v>Siena</v>
      </c>
      <c r="D303" s="10">
        <f>_xlfn.XLOOKUP(C303,'Place Profiles'!A:A,'Place Profiles'!B:B,"0")</f>
        <v>43.3184768539152</v>
      </c>
      <c r="E303" s="10">
        <f>_xlfn.XLOOKUP(C303,'Place Profiles'!A:A,'Place Profiles'!C:C,"0")</f>
        <v>11.3310792700061</v>
      </c>
      <c r="F303" t="str">
        <v>de' Medici, Caterina</v>
      </c>
      <c r="G303" t="str">
        <v>von Habsburg, Maria Magdalena</v>
      </c>
      <c r="H303" t="str" cm="1">
        <f t="array" ref="H303">_xlfn.LET(
_xlpm.t,$G303,
_xlpm.cands,_xlfn._xlws.FILTER('Place Profiles'!$G$2:$G$929,'Place Profiles'!$G$2:$G$929&lt;&gt;""),
_xlpm.counts,COUNTIFS('Raw Data'!$G$2:$G$501,_xlpm.t,'Raw Data'!$F$2:$F$501,_xlpm.cands),
_xlpm.mx,MAX(_xlpm.counts),
IF(_xlpm.mx=0,0,_xlfn.TEXTJOIN(" / ",TRUE,_xlfn._xlws.FILTER(_xlpm.cands,_xlpm.counts=_xlpm.mx)))
)</f>
        <v>Firenze/Fiorenza</v>
      </c>
      <c r="I303">
        <f>_xlfn.XLOOKUP(H303,'Place Profiles'!A:A,'Place Profiles'!B:B,"0")</f>
        <v>43.773821664204803</v>
      </c>
      <c r="J303">
        <f>_xlfn.XLOOKUP(H303,'Place Profiles'!A:A,'Place Profiles'!C:C,"0")</f>
        <v>11.2555362617661</v>
      </c>
    </row>
    <row r="304" spans="1:10" x14ac:dyDescent="0.45">
      <c r="A304" t="str">
        <v>ID_00303</v>
      </c>
      <c r="B304" t="str">
        <v>1628/07/14</v>
      </c>
      <c r="C304" t="str">
        <v>Siena</v>
      </c>
      <c r="D304" s="10">
        <f>_xlfn.XLOOKUP(C304,'Place Profiles'!A:A,'Place Profiles'!B:B,"0")</f>
        <v>43.3184768539152</v>
      </c>
      <c r="E304" s="10">
        <f>_xlfn.XLOOKUP(C304,'Place Profiles'!A:A,'Place Profiles'!C:C,"0")</f>
        <v>11.3310792700061</v>
      </c>
      <c r="F304" t="str">
        <v>de' Medici, Caterina</v>
      </c>
      <c r="G304" t="str">
        <v>von Habsburg, Maria Magdalena</v>
      </c>
      <c r="H304" t="str" cm="1">
        <f t="array" ref="H304">_xlfn.LET(
_xlpm.t,$G304,
_xlpm.cands,_xlfn._xlws.FILTER('Place Profiles'!$G$2:$G$929,'Place Profiles'!$G$2:$G$929&lt;&gt;""),
_xlpm.counts,COUNTIFS('Raw Data'!$G$2:$G$501,_xlpm.t,'Raw Data'!$F$2:$F$501,_xlpm.cands),
_xlpm.mx,MAX(_xlpm.counts),
IF(_xlpm.mx=0,0,_xlfn.TEXTJOIN(" / ",TRUE,_xlfn._xlws.FILTER(_xlpm.cands,_xlpm.counts=_xlpm.mx)))
)</f>
        <v>Firenze/Fiorenza</v>
      </c>
      <c r="I304">
        <f>_xlfn.XLOOKUP(H304,'Place Profiles'!A:A,'Place Profiles'!B:B,"0")</f>
        <v>43.773821664204803</v>
      </c>
      <c r="J304">
        <f>_xlfn.XLOOKUP(H304,'Place Profiles'!A:A,'Place Profiles'!C:C,"0")</f>
        <v>11.2555362617661</v>
      </c>
    </row>
    <row r="305" spans="1:10" x14ac:dyDescent="0.45">
      <c r="A305" t="str">
        <v>ID_00304</v>
      </c>
      <c r="B305" t="str">
        <v>1628/07/14</v>
      </c>
      <c r="C305" t="str">
        <v>Siena</v>
      </c>
      <c r="D305" s="10">
        <f>_xlfn.XLOOKUP(C305,'Place Profiles'!A:A,'Place Profiles'!B:B,"0")</f>
        <v>43.3184768539152</v>
      </c>
      <c r="E305" s="10">
        <f>_xlfn.XLOOKUP(C305,'Place Profiles'!A:A,'Place Profiles'!C:C,"0")</f>
        <v>11.3310792700061</v>
      </c>
      <c r="F305" t="str">
        <v>de' Medici, Caterina</v>
      </c>
      <c r="G305" t="str">
        <v>de' Medici, Ferdinando II</v>
      </c>
      <c r="H305" cm="1">
        <f t="array" ref="H305">_xlfn.LET(
_xlpm.t,$G305,
_xlpm.cands,_xlfn._xlws.FILTER('Place Profiles'!$G$2:$G$929,'Place Profiles'!$G$2:$G$929&lt;&gt;""),
_xlpm.counts,COUNTIFS('Raw Data'!$G$2:$G$501,_xlpm.t,'Raw Data'!$F$2:$F$501,_xlpm.cands),
_xlpm.mx,MAX(_xlpm.counts),
IF(_xlpm.mx=0,0,_xlfn.TEXTJOIN(" / ",TRUE,_xlfn._xlws.FILTER(_xlpm.cands,_xlpm.counts=_xlpm.mx)))
)</f>
        <v>0</v>
      </c>
      <c r="I305" t="str">
        <f>_xlfn.XLOOKUP(H305,'Place Profiles'!A:A,'Place Profiles'!B:B,"0")</f>
        <v>0</v>
      </c>
      <c r="J305" t="str">
        <f>_xlfn.XLOOKUP(H305,'Place Profiles'!A:A,'Place Profiles'!C:C,"0")</f>
        <v>0</v>
      </c>
    </row>
    <row r="306" spans="1:10" x14ac:dyDescent="0.45">
      <c r="A306" t="str">
        <v>ID_00305</v>
      </c>
      <c r="B306" t="str">
        <v>1628/07/15</v>
      </c>
      <c r="C306" t="str">
        <v>Siena</v>
      </c>
      <c r="D306" s="10">
        <f>_xlfn.XLOOKUP(C306,'Place Profiles'!A:A,'Place Profiles'!B:B,"0")</f>
        <v>43.3184768539152</v>
      </c>
      <c r="E306" s="10">
        <f>_xlfn.XLOOKUP(C306,'Place Profiles'!A:A,'Place Profiles'!C:C,"0")</f>
        <v>11.3310792700061</v>
      </c>
      <c r="F306" t="str">
        <v>de' Medici, Caterina</v>
      </c>
      <c r="G306" t="str">
        <v>von Habsburg, Maria Magdalena</v>
      </c>
      <c r="H306" t="str" cm="1">
        <f t="array" ref="H306">_xlfn.LET(
_xlpm.t,$G306,
_xlpm.cands,_xlfn._xlws.FILTER('Place Profiles'!$G$2:$G$929,'Place Profiles'!$G$2:$G$929&lt;&gt;""),
_xlpm.counts,COUNTIFS('Raw Data'!$G$2:$G$501,_xlpm.t,'Raw Data'!$F$2:$F$501,_xlpm.cands),
_xlpm.mx,MAX(_xlpm.counts),
IF(_xlpm.mx=0,0,_xlfn.TEXTJOIN(" / ",TRUE,_xlfn._xlws.FILTER(_xlpm.cands,_xlpm.counts=_xlpm.mx)))
)</f>
        <v>Firenze/Fiorenza</v>
      </c>
      <c r="I306">
        <f>_xlfn.XLOOKUP(H306,'Place Profiles'!A:A,'Place Profiles'!B:B,"0")</f>
        <v>43.773821664204803</v>
      </c>
      <c r="J306">
        <f>_xlfn.XLOOKUP(H306,'Place Profiles'!A:A,'Place Profiles'!C:C,"0")</f>
        <v>11.2555362617661</v>
      </c>
    </row>
    <row r="307" spans="1:10" x14ac:dyDescent="0.45">
      <c r="A307" t="str">
        <v>ID_00306</v>
      </c>
      <c r="B307" t="str">
        <v>1622/07/10</v>
      </c>
      <c r="C307" t="str">
        <v>Siena</v>
      </c>
      <c r="D307" s="10">
        <f>_xlfn.XLOOKUP(C307,'Place Profiles'!A:A,'Place Profiles'!B:B,"0")</f>
        <v>43.3184768539152</v>
      </c>
      <c r="E307" s="10">
        <f>_xlfn.XLOOKUP(C307,'Place Profiles'!A:A,'Place Profiles'!C:C,"0")</f>
        <v>11.3310792700061</v>
      </c>
      <c r="F307" t="str">
        <v>Bosti, Angelo</v>
      </c>
      <c r="G307" t="str">
        <v>de' Medici, Ferdinando II</v>
      </c>
      <c r="H307" cm="1">
        <f t="array" ref="H307">_xlfn.LET(
_xlpm.t,$G307,
_xlpm.cands,_xlfn._xlws.FILTER('Place Profiles'!$G$2:$G$929,'Place Profiles'!$G$2:$G$929&lt;&gt;""),
_xlpm.counts,COUNTIFS('Raw Data'!$G$2:$G$501,_xlpm.t,'Raw Data'!$F$2:$F$501,_xlpm.cands),
_xlpm.mx,MAX(_xlpm.counts),
IF(_xlpm.mx=0,0,_xlfn.TEXTJOIN(" / ",TRUE,_xlfn._xlws.FILTER(_xlpm.cands,_xlpm.counts=_xlpm.mx)))
)</f>
        <v>0</v>
      </c>
      <c r="I307" t="str">
        <f>_xlfn.XLOOKUP(H307,'Place Profiles'!A:A,'Place Profiles'!B:B,"0")</f>
        <v>0</v>
      </c>
      <c r="J307" t="str">
        <f>_xlfn.XLOOKUP(H307,'Place Profiles'!A:A,'Place Profiles'!C:C,"0")</f>
        <v>0</v>
      </c>
    </row>
    <row r="308" spans="1:10" x14ac:dyDescent="0.45">
      <c r="A308" t="str">
        <v>ID_00307</v>
      </c>
      <c r="B308" t="str">
        <v>1627/07/14</v>
      </c>
      <c r="C308" t="str">
        <v>Siena</v>
      </c>
      <c r="D308" s="10">
        <f>_xlfn.XLOOKUP(C308,'Place Profiles'!A:A,'Place Profiles'!B:B,"0")</f>
        <v>43.3184768539152</v>
      </c>
      <c r="E308" s="10">
        <f>_xlfn.XLOOKUP(C308,'Place Profiles'!A:A,'Place Profiles'!C:C,"0")</f>
        <v>11.3310792700061</v>
      </c>
      <c r="F308" t="str">
        <v>de' Medici, Caterina</v>
      </c>
      <c r="G308" t="str">
        <v>de' Medici, Ferdinando II</v>
      </c>
      <c r="H308" cm="1">
        <f t="array" ref="H308">_xlfn.LET(
_xlpm.t,$G308,
_xlpm.cands,_xlfn._xlws.FILTER('Place Profiles'!$G$2:$G$929,'Place Profiles'!$G$2:$G$929&lt;&gt;""),
_xlpm.counts,COUNTIFS('Raw Data'!$G$2:$G$501,_xlpm.t,'Raw Data'!$F$2:$F$501,_xlpm.cands),
_xlpm.mx,MAX(_xlpm.counts),
IF(_xlpm.mx=0,0,_xlfn.TEXTJOIN(" / ",TRUE,_xlfn._xlws.FILTER(_xlpm.cands,_xlpm.counts=_xlpm.mx)))
)</f>
        <v>0</v>
      </c>
      <c r="I308" t="str">
        <f>_xlfn.XLOOKUP(H308,'Place Profiles'!A:A,'Place Profiles'!B:B,"0")</f>
        <v>0</v>
      </c>
      <c r="J308" t="str">
        <f>_xlfn.XLOOKUP(H308,'Place Profiles'!A:A,'Place Profiles'!C:C,"0")</f>
        <v>0</v>
      </c>
    </row>
    <row r="309" spans="1:10" x14ac:dyDescent="0.45">
      <c r="A309" t="str">
        <v>ID_00308</v>
      </c>
      <c r="B309" t="str">
        <v>1622/07/14</v>
      </c>
      <c r="C309" t="str">
        <v>Siena</v>
      </c>
      <c r="D309" s="10">
        <f>_xlfn.XLOOKUP(C309,'Place Profiles'!A:A,'Place Profiles'!B:B,"0")</f>
        <v>43.3184768539152</v>
      </c>
      <c r="E309" s="10">
        <f>_xlfn.XLOOKUP(C309,'Place Profiles'!A:A,'Place Profiles'!C:C,"0")</f>
        <v>11.3310792700061</v>
      </c>
      <c r="F309" t="str">
        <v>Illegible</v>
      </c>
      <c r="G309" t="str">
        <v>de' Medici, Ferdinando II</v>
      </c>
      <c r="H309" cm="1">
        <f t="array" ref="H309">_xlfn.LET(
_xlpm.t,$G309,
_xlpm.cands,_xlfn._xlws.FILTER('Place Profiles'!$G$2:$G$929,'Place Profiles'!$G$2:$G$929&lt;&gt;""),
_xlpm.counts,COUNTIFS('Raw Data'!$G$2:$G$501,_xlpm.t,'Raw Data'!$F$2:$F$501,_xlpm.cands),
_xlpm.mx,MAX(_xlpm.counts),
IF(_xlpm.mx=0,0,_xlfn.TEXTJOIN(" / ",TRUE,_xlfn._xlws.FILTER(_xlpm.cands,_xlpm.counts=_xlpm.mx)))
)</f>
        <v>0</v>
      </c>
      <c r="I309" t="str">
        <f>_xlfn.XLOOKUP(H309,'Place Profiles'!A:A,'Place Profiles'!B:B,"0")</f>
        <v>0</v>
      </c>
      <c r="J309" t="str">
        <f>_xlfn.XLOOKUP(H309,'Place Profiles'!A:A,'Place Profiles'!C:C,"0")</f>
        <v>0</v>
      </c>
    </row>
    <row r="310" spans="1:10" x14ac:dyDescent="0.45">
      <c r="A310" t="str">
        <v>ID_00309</v>
      </c>
      <c r="B310" t="str">
        <v>1628/07/15</v>
      </c>
      <c r="C310" t="str">
        <v>Siena</v>
      </c>
      <c r="D310" s="10">
        <f>_xlfn.XLOOKUP(C310,'Place Profiles'!A:A,'Place Profiles'!B:B,"0")</f>
        <v>43.3184768539152</v>
      </c>
      <c r="E310" s="10">
        <f>_xlfn.XLOOKUP(C310,'Place Profiles'!A:A,'Place Profiles'!C:C,"0")</f>
        <v>11.3310792700061</v>
      </c>
      <c r="F310" t="str">
        <v>de' Medici, Caterina</v>
      </c>
      <c r="G310" t="str">
        <v>de' Medici, Ferdinando II</v>
      </c>
      <c r="H310" cm="1">
        <f t="array" ref="H310">_xlfn.LET(
_xlpm.t,$G310,
_xlpm.cands,_xlfn._xlws.FILTER('Place Profiles'!$G$2:$G$929,'Place Profiles'!$G$2:$G$929&lt;&gt;""),
_xlpm.counts,COUNTIFS('Raw Data'!$G$2:$G$501,_xlpm.t,'Raw Data'!$F$2:$F$501,_xlpm.cands),
_xlpm.mx,MAX(_xlpm.counts),
IF(_xlpm.mx=0,0,_xlfn.TEXTJOIN(" / ",TRUE,_xlfn._xlws.FILTER(_xlpm.cands,_xlpm.counts=_xlpm.mx)))
)</f>
        <v>0</v>
      </c>
      <c r="I310" t="str">
        <f>_xlfn.XLOOKUP(H310,'Place Profiles'!A:A,'Place Profiles'!B:B,"0")</f>
        <v>0</v>
      </c>
      <c r="J310" t="str">
        <f>_xlfn.XLOOKUP(H310,'Place Profiles'!A:A,'Place Profiles'!C:C,"0")</f>
        <v>0</v>
      </c>
    </row>
    <row r="311" spans="1:10" x14ac:dyDescent="0.45">
      <c r="A311" t="str">
        <v>ID_00310</v>
      </c>
      <c r="B311" t="str">
        <v>1628/07/17</v>
      </c>
      <c r="C311" t="str">
        <v>Siena</v>
      </c>
      <c r="D311" s="10">
        <f>_xlfn.XLOOKUP(C311,'Place Profiles'!A:A,'Place Profiles'!B:B,"0")</f>
        <v>43.3184768539152</v>
      </c>
      <c r="E311" s="10">
        <f>_xlfn.XLOOKUP(C311,'Place Profiles'!A:A,'Place Profiles'!C:C,"0")</f>
        <v>11.3310792700061</v>
      </c>
      <c r="F311" t="str">
        <v>de' Medici, Caterina</v>
      </c>
      <c r="G311" t="str">
        <v>de' Medici, Ferdinando II</v>
      </c>
      <c r="H311" cm="1">
        <f t="array" ref="H311">_xlfn.LET(
_xlpm.t,$G311,
_xlpm.cands,_xlfn._xlws.FILTER('Place Profiles'!$G$2:$G$929,'Place Profiles'!$G$2:$G$929&lt;&gt;""),
_xlpm.counts,COUNTIFS('Raw Data'!$G$2:$G$501,_xlpm.t,'Raw Data'!$F$2:$F$501,_xlpm.cands),
_xlpm.mx,MAX(_xlpm.counts),
IF(_xlpm.mx=0,0,_xlfn.TEXTJOIN(" / ",TRUE,_xlfn._xlws.FILTER(_xlpm.cands,_xlpm.counts=_xlpm.mx)))
)</f>
        <v>0</v>
      </c>
      <c r="I311" t="str">
        <f>_xlfn.XLOOKUP(H311,'Place Profiles'!A:A,'Place Profiles'!B:B,"0")</f>
        <v>0</v>
      </c>
      <c r="J311" t="str">
        <f>_xlfn.XLOOKUP(H311,'Place Profiles'!A:A,'Place Profiles'!C:C,"0")</f>
        <v>0</v>
      </c>
    </row>
    <row r="312" spans="1:10" x14ac:dyDescent="0.45">
      <c r="A312" t="str">
        <v>ID_00311</v>
      </c>
      <c r="B312" t="str">
        <v>1628/07/31</v>
      </c>
      <c r="C312" t="str">
        <v>Siena</v>
      </c>
      <c r="D312" s="10">
        <f>_xlfn.XLOOKUP(C312,'Place Profiles'!A:A,'Place Profiles'!B:B,"0")</f>
        <v>43.3184768539152</v>
      </c>
      <c r="E312" s="10">
        <f>_xlfn.XLOOKUP(C312,'Place Profiles'!A:A,'Place Profiles'!C:C,"0")</f>
        <v>11.3310792700061</v>
      </c>
      <c r="F312" t="str">
        <v>de' Medici, Caterina</v>
      </c>
      <c r="G312" t="str">
        <v>Cioli, Andrea</v>
      </c>
      <c r="H312" cm="1">
        <f t="array" ref="H312">_xlfn.LET(
_xlpm.t,$G312,
_xlpm.cands,_xlfn._xlws.FILTER('Place Profiles'!$G$2:$G$929,'Place Profiles'!$G$2:$G$929&lt;&gt;""),
_xlpm.counts,COUNTIFS('Raw Data'!$G$2:$G$501,_xlpm.t,'Raw Data'!$F$2:$F$501,_xlpm.cands),
_xlpm.mx,MAX(_xlpm.counts),
IF(_xlpm.mx=0,0,_xlfn.TEXTJOIN(" / ",TRUE,_xlfn._xlws.FILTER(_xlpm.cands,_xlpm.counts=_xlpm.mx)))
)</f>
        <v>0</v>
      </c>
      <c r="I312" t="str">
        <f>_xlfn.XLOOKUP(H312,'Place Profiles'!A:A,'Place Profiles'!B:B,"0")</f>
        <v>0</v>
      </c>
      <c r="J312" t="str">
        <f>_xlfn.XLOOKUP(H312,'Place Profiles'!A:A,'Place Profiles'!C:C,"0")</f>
        <v>0</v>
      </c>
    </row>
    <row r="313" spans="1:10" x14ac:dyDescent="0.45">
      <c r="A313" t="str">
        <v>ID_00312</v>
      </c>
      <c r="B313" t="str">
        <v>1628/08/01</v>
      </c>
      <c r="C313" t="str">
        <v>Siena</v>
      </c>
      <c r="D313" s="10">
        <f>_xlfn.XLOOKUP(C313,'Place Profiles'!A:A,'Place Profiles'!B:B,"0")</f>
        <v>43.3184768539152</v>
      </c>
      <c r="E313" s="10">
        <f>_xlfn.XLOOKUP(C313,'Place Profiles'!A:A,'Place Profiles'!C:C,"0")</f>
        <v>11.3310792700061</v>
      </c>
      <c r="F313" t="str">
        <v>de' Medici, Caterina</v>
      </c>
      <c r="G313" t="str">
        <v>de' Medici, Ferdinando II</v>
      </c>
      <c r="H313" cm="1">
        <f t="array" ref="H313">_xlfn.LET(
_xlpm.t,$G313,
_xlpm.cands,_xlfn._xlws.FILTER('Place Profiles'!$G$2:$G$929,'Place Profiles'!$G$2:$G$929&lt;&gt;""),
_xlpm.counts,COUNTIFS('Raw Data'!$G$2:$G$501,_xlpm.t,'Raw Data'!$F$2:$F$501,_xlpm.cands),
_xlpm.mx,MAX(_xlpm.counts),
IF(_xlpm.mx=0,0,_xlfn.TEXTJOIN(" / ",TRUE,_xlfn._xlws.FILTER(_xlpm.cands,_xlpm.counts=_xlpm.mx)))
)</f>
        <v>0</v>
      </c>
      <c r="I313" t="str">
        <f>_xlfn.XLOOKUP(H313,'Place Profiles'!A:A,'Place Profiles'!B:B,"0")</f>
        <v>0</v>
      </c>
      <c r="J313" t="str">
        <f>_xlfn.XLOOKUP(H313,'Place Profiles'!A:A,'Place Profiles'!C:C,"0")</f>
        <v>0</v>
      </c>
    </row>
    <row r="314" spans="1:10" x14ac:dyDescent="0.45">
      <c r="A314" t="str">
        <v>ID_00313</v>
      </c>
      <c r="B314" t="str">
        <v>1628/08/19</v>
      </c>
      <c r="C314" t="str">
        <v>Siena</v>
      </c>
      <c r="D314" s="10">
        <f>_xlfn.XLOOKUP(C314,'Place Profiles'!A:A,'Place Profiles'!B:B,"0")</f>
        <v>43.3184768539152</v>
      </c>
      <c r="E314" s="10">
        <f>_xlfn.XLOOKUP(C314,'Place Profiles'!A:A,'Place Profiles'!C:C,"0")</f>
        <v>11.3310792700061</v>
      </c>
      <c r="F314" t="str">
        <v>de' Medici, Caterina</v>
      </c>
      <c r="G314" t="str">
        <v>Cioli, Andrea</v>
      </c>
      <c r="H314" cm="1">
        <f t="array" ref="H314">_xlfn.LET(
_xlpm.t,$G314,
_xlpm.cands,_xlfn._xlws.FILTER('Place Profiles'!$G$2:$G$929,'Place Profiles'!$G$2:$G$929&lt;&gt;""),
_xlpm.counts,COUNTIFS('Raw Data'!$G$2:$G$501,_xlpm.t,'Raw Data'!$F$2:$F$501,_xlpm.cands),
_xlpm.mx,MAX(_xlpm.counts),
IF(_xlpm.mx=0,0,_xlfn.TEXTJOIN(" / ",TRUE,_xlfn._xlws.FILTER(_xlpm.cands,_xlpm.counts=_xlpm.mx)))
)</f>
        <v>0</v>
      </c>
      <c r="I314" t="str">
        <f>_xlfn.XLOOKUP(H314,'Place Profiles'!A:A,'Place Profiles'!B:B,"0")</f>
        <v>0</v>
      </c>
      <c r="J314" t="str">
        <f>_xlfn.XLOOKUP(H314,'Place Profiles'!A:A,'Place Profiles'!C:C,"0")</f>
        <v>0</v>
      </c>
    </row>
    <row r="315" spans="1:10" x14ac:dyDescent="0.45">
      <c r="A315" t="str">
        <v>ID_00314</v>
      </c>
      <c r="B315" t="str">
        <v>1628/08/21</v>
      </c>
      <c r="C315" t="str">
        <v>Siena</v>
      </c>
      <c r="D315" s="10">
        <f>_xlfn.XLOOKUP(C315,'Place Profiles'!A:A,'Place Profiles'!B:B,"0")</f>
        <v>43.3184768539152</v>
      </c>
      <c r="E315" s="10">
        <f>_xlfn.XLOOKUP(C315,'Place Profiles'!A:A,'Place Profiles'!C:C,"0")</f>
        <v>11.3310792700061</v>
      </c>
      <c r="F315" t="str">
        <v>de' Medici, Caterina</v>
      </c>
      <c r="G315" t="str">
        <v>de' Medici, Ferdinando II</v>
      </c>
      <c r="H315" cm="1">
        <f t="array" ref="H315">_xlfn.LET(
_xlpm.t,$G315,
_xlpm.cands,_xlfn._xlws.FILTER('Place Profiles'!$G$2:$G$929,'Place Profiles'!$G$2:$G$929&lt;&gt;""),
_xlpm.counts,COUNTIFS('Raw Data'!$G$2:$G$501,_xlpm.t,'Raw Data'!$F$2:$F$501,_xlpm.cands),
_xlpm.mx,MAX(_xlpm.counts),
IF(_xlpm.mx=0,0,_xlfn.TEXTJOIN(" / ",TRUE,_xlfn._xlws.FILTER(_xlpm.cands,_xlpm.counts=_xlpm.mx)))
)</f>
        <v>0</v>
      </c>
      <c r="I315" t="str">
        <f>_xlfn.XLOOKUP(H315,'Place Profiles'!A:A,'Place Profiles'!B:B,"0")</f>
        <v>0</v>
      </c>
      <c r="J315" t="str">
        <f>_xlfn.XLOOKUP(H315,'Place Profiles'!A:A,'Place Profiles'!C:C,"0")</f>
        <v>0</v>
      </c>
    </row>
    <row r="316" spans="1:10" x14ac:dyDescent="0.45">
      <c r="A316" t="str">
        <v>ID_00315</v>
      </c>
      <c r="B316" t="str">
        <v>1628/08/22</v>
      </c>
      <c r="C316" t="str">
        <v>Siena</v>
      </c>
      <c r="D316" s="10">
        <f>_xlfn.XLOOKUP(C316,'Place Profiles'!A:A,'Place Profiles'!B:B,"0")</f>
        <v>43.3184768539152</v>
      </c>
      <c r="E316" s="10">
        <f>_xlfn.XLOOKUP(C316,'Place Profiles'!A:A,'Place Profiles'!C:C,"0")</f>
        <v>11.3310792700061</v>
      </c>
      <c r="F316" t="str">
        <v>de' Medici, Caterina</v>
      </c>
      <c r="G316" t="str">
        <v>Cioli, Andrea</v>
      </c>
      <c r="H316" cm="1">
        <f t="array" ref="H316">_xlfn.LET(
_xlpm.t,$G316,
_xlpm.cands,_xlfn._xlws.FILTER('Place Profiles'!$G$2:$G$929,'Place Profiles'!$G$2:$G$929&lt;&gt;""),
_xlpm.counts,COUNTIFS('Raw Data'!$G$2:$G$501,_xlpm.t,'Raw Data'!$F$2:$F$501,_xlpm.cands),
_xlpm.mx,MAX(_xlpm.counts),
IF(_xlpm.mx=0,0,_xlfn.TEXTJOIN(" / ",TRUE,_xlfn._xlws.FILTER(_xlpm.cands,_xlpm.counts=_xlpm.mx)))
)</f>
        <v>0</v>
      </c>
      <c r="I316" t="str">
        <f>_xlfn.XLOOKUP(H316,'Place Profiles'!A:A,'Place Profiles'!B:B,"0")</f>
        <v>0</v>
      </c>
      <c r="J316" t="str">
        <f>_xlfn.XLOOKUP(H316,'Place Profiles'!A:A,'Place Profiles'!C:C,"0")</f>
        <v>0</v>
      </c>
    </row>
    <row r="317" spans="1:10" x14ac:dyDescent="0.45">
      <c r="A317" t="str">
        <v>ID_00316</v>
      </c>
      <c r="B317" t="str">
        <v>1628/08/26</v>
      </c>
      <c r="C317" t="str">
        <v>Siena</v>
      </c>
      <c r="D317" s="10">
        <f>_xlfn.XLOOKUP(C317,'Place Profiles'!A:A,'Place Profiles'!B:B,"0")</f>
        <v>43.3184768539152</v>
      </c>
      <c r="E317" s="10">
        <f>_xlfn.XLOOKUP(C317,'Place Profiles'!A:A,'Place Profiles'!C:C,"0")</f>
        <v>11.3310792700061</v>
      </c>
      <c r="F317" t="str">
        <v>de' Medici, Caterina</v>
      </c>
      <c r="G317" t="str">
        <v>Cioli, Andrea</v>
      </c>
      <c r="H317" cm="1">
        <f t="array" ref="H317">_xlfn.LET(
_xlpm.t,$G317,
_xlpm.cands,_xlfn._xlws.FILTER('Place Profiles'!$G$2:$G$929,'Place Profiles'!$G$2:$G$929&lt;&gt;""),
_xlpm.counts,COUNTIFS('Raw Data'!$G$2:$G$501,_xlpm.t,'Raw Data'!$F$2:$F$501,_xlpm.cands),
_xlpm.mx,MAX(_xlpm.counts),
IF(_xlpm.mx=0,0,_xlfn.TEXTJOIN(" / ",TRUE,_xlfn._xlws.FILTER(_xlpm.cands,_xlpm.counts=_xlpm.mx)))
)</f>
        <v>0</v>
      </c>
      <c r="I317" t="str">
        <f>_xlfn.XLOOKUP(H317,'Place Profiles'!A:A,'Place Profiles'!B:B,"0")</f>
        <v>0</v>
      </c>
      <c r="J317" t="str">
        <f>_xlfn.XLOOKUP(H317,'Place Profiles'!A:A,'Place Profiles'!C:C,"0")</f>
        <v>0</v>
      </c>
    </row>
    <row r="318" spans="1:10" x14ac:dyDescent="0.45">
      <c r="A318" t="str">
        <v>ID_00317</v>
      </c>
      <c r="B318" t="str">
        <v>1628/09/22</v>
      </c>
      <c r="C318" t="str">
        <v>Siena</v>
      </c>
      <c r="D318" s="10">
        <f>_xlfn.XLOOKUP(C318,'Place Profiles'!A:A,'Place Profiles'!B:B,"0")</f>
        <v>43.3184768539152</v>
      </c>
      <c r="E318" s="10">
        <f>_xlfn.XLOOKUP(C318,'Place Profiles'!A:A,'Place Profiles'!C:C,"0")</f>
        <v>11.3310792700061</v>
      </c>
      <c r="F318" t="str">
        <v>de' Medici, Caterina</v>
      </c>
      <c r="G318" t="str">
        <v>de' Medici, Ferdinando II</v>
      </c>
      <c r="H318" cm="1">
        <f t="array" ref="H318">_xlfn.LET(
_xlpm.t,$G318,
_xlpm.cands,_xlfn._xlws.FILTER('Place Profiles'!$G$2:$G$929,'Place Profiles'!$G$2:$G$929&lt;&gt;""),
_xlpm.counts,COUNTIFS('Raw Data'!$G$2:$G$501,_xlpm.t,'Raw Data'!$F$2:$F$501,_xlpm.cands),
_xlpm.mx,MAX(_xlpm.counts),
IF(_xlpm.mx=0,0,_xlfn.TEXTJOIN(" / ",TRUE,_xlfn._xlws.FILTER(_xlpm.cands,_xlpm.counts=_xlpm.mx)))
)</f>
        <v>0</v>
      </c>
      <c r="I318" t="str">
        <f>_xlfn.XLOOKUP(H318,'Place Profiles'!A:A,'Place Profiles'!B:B,"0")</f>
        <v>0</v>
      </c>
      <c r="J318" t="str">
        <f>_xlfn.XLOOKUP(H318,'Place Profiles'!A:A,'Place Profiles'!C:C,"0")</f>
        <v>0</v>
      </c>
    </row>
    <row r="319" spans="1:10" x14ac:dyDescent="0.45">
      <c r="A319" t="str">
        <v>ID_00318</v>
      </c>
      <c r="B319" t="str">
        <v>1622/07/20</v>
      </c>
      <c r="C319" t="str">
        <v>Siena</v>
      </c>
      <c r="D319" s="10">
        <f>_xlfn.XLOOKUP(C319,'Place Profiles'!A:A,'Place Profiles'!B:B,"0")</f>
        <v>43.3184768539152</v>
      </c>
      <c r="E319" s="10">
        <f>_xlfn.XLOOKUP(C319,'Place Profiles'!A:A,'Place Profiles'!C:C,"0")</f>
        <v>11.3310792700061</v>
      </c>
      <c r="F319" t="str">
        <v>Avarna, Mario</v>
      </c>
      <c r="G319" t="str">
        <v>von Habsburg, Maria Magdalena</v>
      </c>
      <c r="H319" t="str" cm="1">
        <f t="array" ref="H319">_xlfn.LET(
_xlpm.t,$G319,
_xlpm.cands,_xlfn._xlws.FILTER('Place Profiles'!$G$2:$G$929,'Place Profiles'!$G$2:$G$929&lt;&gt;""),
_xlpm.counts,COUNTIFS('Raw Data'!$G$2:$G$501,_xlpm.t,'Raw Data'!$F$2:$F$501,_xlpm.cands),
_xlpm.mx,MAX(_xlpm.counts),
IF(_xlpm.mx=0,0,_xlfn.TEXTJOIN(" / ",TRUE,_xlfn._xlws.FILTER(_xlpm.cands,_xlpm.counts=_xlpm.mx)))
)</f>
        <v>Firenze/Fiorenza</v>
      </c>
      <c r="I319">
        <f>_xlfn.XLOOKUP(H319,'Place Profiles'!A:A,'Place Profiles'!B:B,"0")</f>
        <v>43.773821664204803</v>
      </c>
      <c r="J319">
        <f>_xlfn.XLOOKUP(H319,'Place Profiles'!A:A,'Place Profiles'!C:C,"0")</f>
        <v>11.2555362617661</v>
      </c>
    </row>
    <row r="320" spans="1:10" x14ac:dyDescent="0.45">
      <c r="A320" t="str">
        <v>ID_00319</v>
      </c>
      <c r="B320" t="str">
        <v>1628/09/26</v>
      </c>
      <c r="C320" t="str">
        <v>Siena</v>
      </c>
      <c r="D320" s="10">
        <f>_xlfn.XLOOKUP(C320,'Place Profiles'!A:A,'Place Profiles'!B:B,"0")</f>
        <v>43.3184768539152</v>
      </c>
      <c r="E320" s="10">
        <f>_xlfn.XLOOKUP(C320,'Place Profiles'!A:A,'Place Profiles'!C:C,"0")</f>
        <v>11.3310792700061</v>
      </c>
      <c r="F320" t="str">
        <v>de' Medici, Caterina</v>
      </c>
      <c r="G320" t="str">
        <v>Cioli, Andrea</v>
      </c>
      <c r="H320" cm="1">
        <f t="array" ref="H320">_xlfn.LET(
_xlpm.t,$G320,
_xlpm.cands,_xlfn._xlws.FILTER('Place Profiles'!$G$2:$G$929,'Place Profiles'!$G$2:$G$929&lt;&gt;""),
_xlpm.counts,COUNTIFS('Raw Data'!$G$2:$G$501,_xlpm.t,'Raw Data'!$F$2:$F$501,_xlpm.cands),
_xlpm.mx,MAX(_xlpm.counts),
IF(_xlpm.mx=0,0,_xlfn.TEXTJOIN(" / ",TRUE,_xlfn._xlws.FILTER(_xlpm.cands,_xlpm.counts=_xlpm.mx)))
)</f>
        <v>0</v>
      </c>
      <c r="I320" t="str">
        <f>_xlfn.XLOOKUP(H320,'Place Profiles'!A:A,'Place Profiles'!B:B,"0")</f>
        <v>0</v>
      </c>
      <c r="J320" t="str">
        <f>_xlfn.XLOOKUP(H320,'Place Profiles'!A:A,'Place Profiles'!C:C,"0")</f>
        <v>0</v>
      </c>
    </row>
    <row r="321" spans="1:10" x14ac:dyDescent="0.45">
      <c r="A321" t="str">
        <v>ID_00320</v>
      </c>
      <c r="B321" t="str">
        <v>1628/10/01</v>
      </c>
      <c r="C321" t="str">
        <v>Siena</v>
      </c>
      <c r="D321" s="10">
        <f>_xlfn.XLOOKUP(C321,'Place Profiles'!A:A,'Place Profiles'!B:B,"0")</f>
        <v>43.3184768539152</v>
      </c>
      <c r="E321" s="10">
        <f>_xlfn.XLOOKUP(C321,'Place Profiles'!A:A,'Place Profiles'!C:C,"0")</f>
        <v>11.3310792700061</v>
      </c>
      <c r="F321" t="str">
        <v>de' Medici, Caterina</v>
      </c>
      <c r="G321" t="str">
        <v>de' Medici, Ferdinando II</v>
      </c>
      <c r="H321" cm="1">
        <f t="array" ref="H321">_xlfn.LET(
_xlpm.t,$G321,
_xlpm.cands,_xlfn._xlws.FILTER('Place Profiles'!$G$2:$G$929,'Place Profiles'!$G$2:$G$929&lt;&gt;""),
_xlpm.counts,COUNTIFS('Raw Data'!$G$2:$G$501,_xlpm.t,'Raw Data'!$F$2:$F$501,_xlpm.cands),
_xlpm.mx,MAX(_xlpm.counts),
IF(_xlpm.mx=0,0,_xlfn.TEXTJOIN(" / ",TRUE,_xlfn._xlws.FILTER(_xlpm.cands,_xlpm.counts=_xlpm.mx)))
)</f>
        <v>0</v>
      </c>
      <c r="I321" t="str">
        <f>_xlfn.XLOOKUP(H321,'Place Profiles'!A:A,'Place Profiles'!B:B,"0")</f>
        <v>0</v>
      </c>
      <c r="J321" t="str">
        <f>_xlfn.XLOOKUP(H321,'Place Profiles'!A:A,'Place Profiles'!C:C,"0")</f>
        <v>0</v>
      </c>
    </row>
    <row r="322" spans="1:10" x14ac:dyDescent="0.45">
      <c r="A322" t="str">
        <v>ID_00321</v>
      </c>
      <c r="B322" t="str">
        <v>1628/10/00</v>
      </c>
      <c r="C322" t="str">
        <v>Siena</v>
      </c>
      <c r="D322" s="10">
        <f>_xlfn.XLOOKUP(C322,'Place Profiles'!A:A,'Place Profiles'!B:B,"0")</f>
        <v>43.3184768539152</v>
      </c>
      <c r="E322" s="10">
        <f>_xlfn.XLOOKUP(C322,'Place Profiles'!A:A,'Place Profiles'!C:C,"0")</f>
        <v>11.3310792700061</v>
      </c>
      <c r="F322" t="str">
        <v>de' Medici, Caterina</v>
      </c>
      <c r="G322" t="str">
        <v>Cioli, Andrea</v>
      </c>
      <c r="H322" cm="1">
        <f t="array" ref="H322">_xlfn.LET(
_xlpm.t,$G322,
_xlpm.cands,_xlfn._xlws.FILTER('Place Profiles'!$G$2:$G$929,'Place Profiles'!$G$2:$G$929&lt;&gt;""),
_xlpm.counts,COUNTIFS('Raw Data'!$G$2:$G$501,_xlpm.t,'Raw Data'!$F$2:$F$501,_xlpm.cands),
_xlpm.mx,MAX(_xlpm.counts),
IF(_xlpm.mx=0,0,_xlfn.TEXTJOIN(" / ",TRUE,_xlfn._xlws.FILTER(_xlpm.cands,_xlpm.counts=_xlpm.mx)))
)</f>
        <v>0</v>
      </c>
      <c r="I322" t="str">
        <f>_xlfn.XLOOKUP(H322,'Place Profiles'!A:A,'Place Profiles'!B:B,"0")</f>
        <v>0</v>
      </c>
      <c r="J322" t="str">
        <f>_xlfn.XLOOKUP(H322,'Place Profiles'!A:A,'Place Profiles'!C:C,"0")</f>
        <v>0</v>
      </c>
    </row>
    <row r="323" spans="1:10" x14ac:dyDescent="0.45">
      <c r="A323" t="str">
        <v>ID_00322</v>
      </c>
      <c r="B323" t="str">
        <v>1628/10/00</v>
      </c>
      <c r="C323" t="str">
        <v>Siena</v>
      </c>
      <c r="D323" s="10">
        <f>_xlfn.XLOOKUP(C323,'Place Profiles'!A:A,'Place Profiles'!B:B,"0")</f>
        <v>43.3184768539152</v>
      </c>
      <c r="E323" s="10">
        <f>_xlfn.XLOOKUP(C323,'Place Profiles'!A:A,'Place Profiles'!C:C,"0")</f>
        <v>11.3310792700061</v>
      </c>
      <c r="F323" t="str">
        <v>de' Medici, Caterina</v>
      </c>
      <c r="G323" t="str">
        <v>de' Medici, Ferdinando II</v>
      </c>
      <c r="H323" cm="1">
        <f t="array" ref="H323">_xlfn.LET(
_xlpm.t,$G323,
_xlpm.cands,_xlfn._xlws.FILTER('Place Profiles'!$G$2:$G$929,'Place Profiles'!$G$2:$G$929&lt;&gt;""),
_xlpm.counts,COUNTIFS('Raw Data'!$G$2:$G$501,_xlpm.t,'Raw Data'!$F$2:$F$501,_xlpm.cands),
_xlpm.mx,MAX(_xlpm.counts),
IF(_xlpm.mx=0,0,_xlfn.TEXTJOIN(" / ",TRUE,_xlfn._xlws.FILTER(_xlpm.cands,_xlpm.counts=_xlpm.mx)))
)</f>
        <v>0</v>
      </c>
      <c r="I323" t="str">
        <f>_xlfn.XLOOKUP(H323,'Place Profiles'!A:A,'Place Profiles'!B:B,"0")</f>
        <v>0</v>
      </c>
      <c r="J323" t="str">
        <f>_xlfn.XLOOKUP(H323,'Place Profiles'!A:A,'Place Profiles'!C:C,"0")</f>
        <v>0</v>
      </c>
    </row>
    <row r="324" spans="1:10" x14ac:dyDescent="0.45">
      <c r="A324" t="str">
        <v>ID_00323</v>
      </c>
      <c r="B324" t="str">
        <v>1622/08/02</v>
      </c>
      <c r="C324" t="str">
        <v>Siena</v>
      </c>
      <c r="D324" s="10">
        <f>_xlfn.XLOOKUP(C324,'Place Profiles'!A:A,'Place Profiles'!B:B,"0")</f>
        <v>43.3184768539152</v>
      </c>
      <c r="E324" s="10">
        <f>_xlfn.XLOOKUP(C324,'Place Profiles'!A:A,'Place Profiles'!C:C,"0")</f>
        <v>11.3310792700061</v>
      </c>
      <c r="F324" t="str">
        <v>Colomba</v>
      </c>
      <c r="G324" t="str">
        <v>von Habsburg, Maria Magdalena</v>
      </c>
      <c r="H324" t="str" cm="1">
        <f t="array" ref="H324">_xlfn.LET(
_xlpm.t,$G324,
_xlpm.cands,_xlfn._xlws.FILTER('Place Profiles'!$G$2:$G$929,'Place Profiles'!$G$2:$G$929&lt;&gt;""),
_xlpm.counts,COUNTIFS('Raw Data'!$G$2:$G$501,_xlpm.t,'Raw Data'!$F$2:$F$501,_xlpm.cands),
_xlpm.mx,MAX(_xlpm.counts),
IF(_xlpm.mx=0,0,_xlfn.TEXTJOIN(" / ",TRUE,_xlfn._xlws.FILTER(_xlpm.cands,_xlpm.counts=_xlpm.mx)))
)</f>
        <v>Firenze/Fiorenza</v>
      </c>
      <c r="I324">
        <f>_xlfn.XLOOKUP(H324,'Place Profiles'!A:A,'Place Profiles'!B:B,"0")</f>
        <v>43.773821664204803</v>
      </c>
      <c r="J324">
        <f>_xlfn.XLOOKUP(H324,'Place Profiles'!A:A,'Place Profiles'!C:C,"0")</f>
        <v>11.2555362617661</v>
      </c>
    </row>
    <row r="325" spans="1:10" x14ac:dyDescent="0.45">
      <c r="A325" t="str">
        <v>ID_00324</v>
      </c>
      <c r="B325" t="str">
        <v>1628/10/23</v>
      </c>
      <c r="C325" t="str">
        <v>Siena</v>
      </c>
      <c r="D325" s="10">
        <f>_xlfn.XLOOKUP(C325,'Place Profiles'!A:A,'Place Profiles'!B:B,"0")</f>
        <v>43.3184768539152</v>
      </c>
      <c r="E325" s="10">
        <f>_xlfn.XLOOKUP(C325,'Place Profiles'!A:A,'Place Profiles'!C:C,"0")</f>
        <v>11.3310792700061</v>
      </c>
      <c r="F325" t="str">
        <v>de' Medici, Caterina</v>
      </c>
      <c r="G325" t="str">
        <v>Cioli, Andrea</v>
      </c>
      <c r="H325" cm="1">
        <f t="array" ref="H325">_xlfn.LET(
_xlpm.t,$G325,
_xlpm.cands,_xlfn._xlws.FILTER('Place Profiles'!$G$2:$G$929,'Place Profiles'!$G$2:$G$929&lt;&gt;""),
_xlpm.counts,COUNTIFS('Raw Data'!$G$2:$G$501,_xlpm.t,'Raw Data'!$F$2:$F$501,_xlpm.cands),
_xlpm.mx,MAX(_xlpm.counts),
IF(_xlpm.mx=0,0,_xlfn.TEXTJOIN(" / ",TRUE,_xlfn._xlws.FILTER(_xlpm.cands,_xlpm.counts=_xlpm.mx)))
)</f>
        <v>0</v>
      </c>
      <c r="I325" t="str">
        <f>_xlfn.XLOOKUP(H325,'Place Profiles'!A:A,'Place Profiles'!B:B,"0")</f>
        <v>0</v>
      </c>
      <c r="J325" t="str">
        <f>_xlfn.XLOOKUP(H325,'Place Profiles'!A:A,'Place Profiles'!C:C,"0")</f>
        <v>0</v>
      </c>
    </row>
    <row r="326" spans="1:10" x14ac:dyDescent="0.45">
      <c r="A326" t="str">
        <v>ID_00325</v>
      </c>
      <c r="B326" t="str">
        <v>1628/10/26</v>
      </c>
      <c r="C326" t="str">
        <v>Siena</v>
      </c>
      <c r="D326" s="10">
        <f>_xlfn.XLOOKUP(C326,'Place Profiles'!A:A,'Place Profiles'!B:B,"0")</f>
        <v>43.3184768539152</v>
      </c>
      <c r="E326" s="10">
        <f>_xlfn.XLOOKUP(C326,'Place Profiles'!A:A,'Place Profiles'!C:C,"0")</f>
        <v>11.3310792700061</v>
      </c>
      <c r="F326" t="str">
        <v>de' Medici, Caterina</v>
      </c>
      <c r="G326" t="str">
        <v>von Habsburg, Maria Magdalena</v>
      </c>
      <c r="H326" t="str" cm="1">
        <f t="array" ref="H326">_xlfn.LET(
_xlpm.t,$G326,
_xlpm.cands,_xlfn._xlws.FILTER('Place Profiles'!$G$2:$G$929,'Place Profiles'!$G$2:$G$929&lt;&gt;""),
_xlpm.counts,COUNTIFS('Raw Data'!$G$2:$G$501,_xlpm.t,'Raw Data'!$F$2:$F$501,_xlpm.cands),
_xlpm.mx,MAX(_xlpm.counts),
IF(_xlpm.mx=0,0,_xlfn.TEXTJOIN(" / ",TRUE,_xlfn._xlws.FILTER(_xlpm.cands,_xlpm.counts=_xlpm.mx)))
)</f>
        <v>Firenze/Fiorenza</v>
      </c>
      <c r="I326">
        <f>_xlfn.XLOOKUP(H326,'Place Profiles'!A:A,'Place Profiles'!B:B,"0")</f>
        <v>43.773821664204803</v>
      </c>
      <c r="J326">
        <f>_xlfn.XLOOKUP(H326,'Place Profiles'!A:A,'Place Profiles'!C:C,"0")</f>
        <v>11.2555362617661</v>
      </c>
    </row>
    <row r="327" spans="1:10" x14ac:dyDescent="0.45">
      <c r="A327" t="str">
        <v>ID_00326</v>
      </c>
      <c r="B327" t="str">
        <v>1628/11/10</v>
      </c>
      <c r="C327" t="str">
        <v>Siena</v>
      </c>
      <c r="D327" s="10">
        <f>_xlfn.XLOOKUP(C327,'Place Profiles'!A:A,'Place Profiles'!B:B,"0")</f>
        <v>43.3184768539152</v>
      </c>
      <c r="E327" s="10">
        <f>_xlfn.XLOOKUP(C327,'Place Profiles'!A:A,'Place Profiles'!C:C,"0")</f>
        <v>11.3310792700061</v>
      </c>
      <c r="F327" t="str">
        <v>de' Medici, Caterina</v>
      </c>
      <c r="G327" t="str">
        <v>Cioli, Andrea</v>
      </c>
      <c r="H327" cm="1">
        <f t="array" ref="H327">_xlfn.LET(
_xlpm.t,$G327,
_xlpm.cands,_xlfn._xlws.FILTER('Place Profiles'!$G$2:$G$929,'Place Profiles'!$G$2:$G$929&lt;&gt;""),
_xlpm.counts,COUNTIFS('Raw Data'!$G$2:$G$501,_xlpm.t,'Raw Data'!$F$2:$F$501,_xlpm.cands),
_xlpm.mx,MAX(_xlpm.counts),
IF(_xlpm.mx=0,0,_xlfn.TEXTJOIN(" / ",TRUE,_xlfn._xlws.FILTER(_xlpm.cands,_xlpm.counts=_xlpm.mx)))
)</f>
        <v>0</v>
      </c>
      <c r="I327" t="str">
        <f>_xlfn.XLOOKUP(H327,'Place Profiles'!A:A,'Place Profiles'!B:B,"0")</f>
        <v>0</v>
      </c>
      <c r="J327" t="str">
        <f>_xlfn.XLOOKUP(H327,'Place Profiles'!A:A,'Place Profiles'!C:C,"0")</f>
        <v>0</v>
      </c>
    </row>
    <row r="328" spans="1:10" x14ac:dyDescent="0.45">
      <c r="A328" t="str">
        <v>ID_00327</v>
      </c>
      <c r="B328" t="str">
        <v>1628/11/13</v>
      </c>
      <c r="C328" t="str">
        <v>Siena</v>
      </c>
      <c r="D328" s="10">
        <f>_xlfn.XLOOKUP(C328,'Place Profiles'!A:A,'Place Profiles'!B:B,"0")</f>
        <v>43.3184768539152</v>
      </c>
      <c r="E328" s="10">
        <f>_xlfn.XLOOKUP(C328,'Place Profiles'!A:A,'Place Profiles'!C:C,"0")</f>
        <v>11.3310792700061</v>
      </c>
      <c r="F328" t="str">
        <v>de' Medici, Caterina</v>
      </c>
      <c r="G328" t="str">
        <v>Unnamed</v>
      </c>
      <c r="H328" t="str" cm="1">
        <f t="array" ref="H328">_xlfn.LET(
_xlpm.t,$G328,
_xlpm.cands,_xlfn._xlws.FILTER('Place Profiles'!$G$2:$G$929,'Place Profiles'!$G$2:$G$929&lt;&gt;""),
_xlpm.counts,COUNTIFS('Raw Data'!$G$2:$G$501,_xlpm.t,'Raw Data'!$F$2:$F$501,_xlpm.cands),
_xlpm.mx,MAX(_xlpm.counts),
IF(_xlpm.mx=0,0,_xlfn.TEXTJOIN(" / ",TRUE,_xlfn._xlws.FILTER(_xlpm.cands,_xlpm.counts=_xlpm.mx)))
)</f>
        <v>Napoli</v>
      </c>
      <c r="I328">
        <f>_xlfn.XLOOKUP(H328,'Place Profiles'!A:A,'Place Profiles'!B:B,"0")</f>
        <v>40.848961755168702</v>
      </c>
      <c r="J328">
        <f>_xlfn.XLOOKUP(H328,'Place Profiles'!A:A,'Place Profiles'!C:C,"0")</f>
        <v>14.271792379340599</v>
      </c>
    </row>
    <row r="329" spans="1:10" x14ac:dyDescent="0.45">
      <c r="A329" t="str">
        <v>ID_00328</v>
      </c>
      <c r="B329" t="str">
        <v>1628/11/29</v>
      </c>
      <c r="C329" t="str">
        <v>Siena</v>
      </c>
      <c r="D329" s="10">
        <f>_xlfn.XLOOKUP(C329,'Place Profiles'!A:A,'Place Profiles'!B:B,"0")</f>
        <v>43.3184768539152</v>
      </c>
      <c r="E329" s="10">
        <f>_xlfn.XLOOKUP(C329,'Place Profiles'!A:A,'Place Profiles'!C:C,"0")</f>
        <v>11.3310792700061</v>
      </c>
      <c r="F329" t="str">
        <v>de' Medici, Caterina</v>
      </c>
      <c r="G329" t="str">
        <v>Cioli, Andrea</v>
      </c>
      <c r="H329" cm="1">
        <f t="array" ref="H329">_xlfn.LET(
_xlpm.t,$G329,
_xlpm.cands,_xlfn._xlws.FILTER('Place Profiles'!$G$2:$G$929,'Place Profiles'!$G$2:$G$929&lt;&gt;""),
_xlpm.counts,COUNTIFS('Raw Data'!$G$2:$G$501,_xlpm.t,'Raw Data'!$F$2:$F$501,_xlpm.cands),
_xlpm.mx,MAX(_xlpm.counts),
IF(_xlpm.mx=0,0,_xlfn.TEXTJOIN(" / ",TRUE,_xlfn._xlws.FILTER(_xlpm.cands,_xlpm.counts=_xlpm.mx)))
)</f>
        <v>0</v>
      </c>
      <c r="I329" t="str">
        <f>_xlfn.XLOOKUP(H329,'Place Profiles'!A:A,'Place Profiles'!B:B,"0")</f>
        <v>0</v>
      </c>
      <c r="J329" t="str">
        <f>_xlfn.XLOOKUP(H329,'Place Profiles'!A:A,'Place Profiles'!C:C,"0")</f>
        <v>0</v>
      </c>
    </row>
    <row r="330" spans="1:10" x14ac:dyDescent="0.45">
      <c r="A330" t="str">
        <v>ID_00329</v>
      </c>
      <c r="B330" t="str">
        <v>1628/12/01</v>
      </c>
      <c r="C330" t="str">
        <v>Siena</v>
      </c>
      <c r="D330" s="10">
        <f>_xlfn.XLOOKUP(C330,'Place Profiles'!A:A,'Place Profiles'!B:B,"0")</f>
        <v>43.3184768539152</v>
      </c>
      <c r="E330" s="10">
        <f>_xlfn.XLOOKUP(C330,'Place Profiles'!A:A,'Place Profiles'!C:C,"0")</f>
        <v>11.3310792700061</v>
      </c>
      <c r="F330" t="str">
        <v>de' Medici, Caterina</v>
      </c>
      <c r="G330" t="str">
        <v>Cioli, Andrea</v>
      </c>
      <c r="H330" cm="1">
        <f t="array" ref="H330">_xlfn.LET(
_xlpm.t,$G330,
_xlpm.cands,_xlfn._xlws.FILTER('Place Profiles'!$G$2:$G$929,'Place Profiles'!$G$2:$G$929&lt;&gt;""),
_xlpm.counts,COUNTIFS('Raw Data'!$G$2:$G$501,_xlpm.t,'Raw Data'!$F$2:$F$501,_xlpm.cands),
_xlpm.mx,MAX(_xlpm.counts),
IF(_xlpm.mx=0,0,_xlfn.TEXTJOIN(" / ",TRUE,_xlfn._xlws.FILTER(_xlpm.cands,_xlpm.counts=_xlpm.mx)))
)</f>
        <v>0</v>
      </c>
      <c r="I330" t="str">
        <f>_xlfn.XLOOKUP(H330,'Place Profiles'!A:A,'Place Profiles'!B:B,"0")</f>
        <v>0</v>
      </c>
      <c r="J330" t="str">
        <f>_xlfn.XLOOKUP(H330,'Place Profiles'!A:A,'Place Profiles'!C:C,"0")</f>
        <v>0</v>
      </c>
    </row>
    <row r="331" spans="1:10" x14ac:dyDescent="0.45">
      <c r="A331" t="str">
        <v>ID_00330</v>
      </c>
      <c r="B331" t="str">
        <v>1628/12/01</v>
      </c>
      <c r="C331" t="str">
        <v>Siena</v>
      </c>
      <c r="D331" s="10">
        <f>_xlfn.XLOOKUP(C331,'Place Profiles'!A:A,'Place Profiles'!B:B,"0")</f>
        <v>43.3184768539152</v>
      </c>
      <c r="E331" s="10">
        <f>_xlfn.XLOOKUP(C331,'Place Profiles'!A:A,'Place Profiles'!C:C,"0")</f>
        <v>11.3310792700061</v>
      </c>
      <c r="F331" t="str">
        <v>de' Medici, Caterina</v>
      </c>
      <c r="G331" t="str">
        <v>de' Medici, Ferdinando II</v>
      </c>
      <c r="H331" cm="1">
        <f t="array" ref="H331">_xlfn.LET(
_xlpm.t,$G331,
_xlpm.cands,_xlfn._xlws.FILTER('Place Profiles'!$G$2:$G$929,'Place Profiles'!$G$2:$G$929&lt;&gt;""),
_xlpm.counts,COUNTIFS('Raw Data'!$G$2:$G$501,_xlpm.t,'Raw Data'!$F$2:$F$501,_xlpm.cands),
_xlpm.mx,MAX(_xlpm.counts),
IF(_xlpm.mx=0,0,_xlfn.TEXTJOIN(" / ",TRUE,_xlfn._xlws.FILTER(_xlpm.cands,_xlpm.counts=_xlpm.mx)))
)</f>
        <v>0</v>
      </c>
      <c r="I331" t="str">
        <f>_xlfn.XLOOKUP(H331,'Place Profiles'!A:A,'Place Profiles'!B:B,"0")</f>
        <v>0</v>
      </c>
      <c r="J331" t="str">
        <f>_xlfn.XLOOKUP(H331,'Place Profiles'!A:A,'Place Profiles'!C:C,"0")</f>
        <v>0</v>
      </c>
    </row>
    <row r="332" spans="1:10" x14ac:dyDescent="0.45">
      <c r="A332" t="str">
        <v>ID_00331</v>
      </c>
      <c r="B332" t="str">
        <v>1621/12/18</v>
      </c>
      <c r="C332" t="str">
        <v>Siena</v>
      </c>
      <c r="D332" s="10">
        <f>_xlfn.XLOOKUP(C332,'Place Profiles'!A:A,'Place Profiles'!B:B,"0")</f>
        <v>43.3184768539152</v>
      </c>
      <c r="E332" s="10">
        <f>_xlfn.XLOOKUP(C332,'Place Profiles'!A:A,'Place Profiles'!C:C,"0")</f>
        <v>11.3310792700061</v>
      </c>
      <c r="F332" t="str">
        <v>Ipoliti Guidotti. Catarina</v>
      </c>
      <c r="G332" t="str">
        <v>von Habsburg, Maria Magdalena</v>
      </c>
      <c r="H332" t="str" cm="1">
        <f t="array" ref="H332">_xlfn.LET(
_xlpm.t,$G332,
_xlpm.cands,_xlfn._xlws.FILTER('Place Profiles'!$G$2:$G$929,'Place Profiles'!$G$2:$G$929&lt;&gt;""),
_xlpm.counts,COUNTIFS('Raw Data'!$G$2:$G$501,_xlpm.t,'Raw Data'!$F$2:$F$501,_xlpm.cands),
_xlpm.mx,MAX(_xlpm.counts),
IF(_xlpm.mx=0,0,_xlfn.TEXTJOIN(" / ",TRUE,_xlfn._xlws.FILTER(_xlpm.cands,_xlpm.counts=_xlpm.mx)))
)</f>
        <v>Firenze/Fiorenza</v>
      </c>
      <c r="I332">
        <f>_xlfn.XLOOKUP(H332,'Place Profiles'!A:A,'Place Profiles'!B:B,"0")</f>
        <v>43.773821664204803</v>
      </c>
      <c r="J332">
        <f>_xlfn.XLOOKUP(H332,'Place Profiles'!A:A,'Place Profiles'!C:C,"0")</f>
        <v>11.2555362617661</v>
      </c>
    </row>
    <row r="333" spans="1:10" x14ac:dyDescent="0.45">
      <c r="A333" t="str">
        <v>ID_00332</v>
      </c>
      <c r="B333" t="str">
        <v>1622/00/15</v>
      </c>
      <c r="C333" t="str">
        <v>Siena</v>
      </c>
      <c r="D333" s="10">
        <f>_xlfn.XLOOKUP(C333,'Place Profiles'!A:A,'Place Profiles'!B:B,"0")</f>
        <v>43.3184768539152</v>
      </c>
      <c r="E333" s="10">
        <f>_xlfn.XLOOKUP(C333,'Place Profiles'!A:A,'Place Profiles'!C:C,"0")</f>
        <v>11.3310792700061</v>
      </c>
      <c r="F333" t="str">
        <v>Griffeli, Bartolomeo</v>
      </c>
      <c r="G333" t="str">
        <v>von Habsburg, Maria Magdalena</v>
      </c>
      <c r="H333" t="str" cm="1">
        <f t="array" ref="H333">_xlfn.LET(
_xlpm.t,$G333,
_xlpm.cands,_xlfn._xlws.FILTER('Place Profiles'!$G$2:$G$929,'Place Profiles'!$G$2:$G$929&lt;&gt;""),
_xlpm.counts,COUNTIFS('Raw Data'!$G$2:$G$501,_xlpm.t,'Raw Data'!$F$2:$F$501,_xlpm.cands),
_xlpm.mx,MAX(_xlpm.counts),
IF(_xlpm.mx=0,0,_xlfn.TEXTJOIN(" / ",TRUE,_xlfn._xlws.FILTER(_xlpm.cands,_xlpm.counts=_xlpm.mx)))
)</f>
        <v>Firenze/Fiorenza</v>
      </c>
      <c r="I333">
        <f>_xlfn.XLOOKUP(H333,'Place Profiles'!A:A,'Place Profiles'!B:B,"0")</f>
        <v>43.773821664204803</v>
      </c>
      <c r="J333">
        <f>_xlfn.XLOOKUP(H333,'Place Profiles'!A:A,'Place Profiles'!C:C,"0")</f>
        <v>11.2555362617661</v>
      </c>
    </row>
    <row r="334" spans="1:10" x14ac:dyDescent="0.45">
      <c r="A334" t="str">
        <v>ID_00333</v>
      </c>
      <c r="B334" t="str">
        <v>1628/12/26</v>
      </c>
      <c r="C334" t="str">
        <v>Siena</v>
      </c>
      <c r="D334" s="10">
        <f>_xlfn.XLOOKUP(C334,'Place Profiles'!A:A,'Place Profiles'!B:B,"0")</f>
        <v>43.3184768539152</v>
      </c>
      <c r="E334" s="10">
        <f>_xlfn.XLOOKUP(C334,'Place Profiles'!A:A,'Place Profiles'!C:C,"0")</f>
        <v>11.3310792700061</v>
      </c>
      <c r="F334" t="str">
        <v>de' Medici, Caterina</v>
      </c>
      <c r="G334" t="str">
        <v>von Habsburg, Maria Magdalena</v>
      </c>
      <c r="H334" t="str" cm="1">
        <f t="array" ref="H334">_xlfn.LET(
_xlpm.t,$G334,
_xlpm.cands,_xlfn._xlws.FILTER('Place Profiles'!$G$2:$G$929,'Place Profiles'!$G$2:$G$929&lt;&gt;""),
_xlpm.counts,COUNTIFS('Raw Data'!$G$2:$G$501,_xlpm.t,'Raw Data'!$F$2:$F$501,_xlpm.cands),
_xlpm.mx,MAX(_xlpm.counts),
IF(_xlpm.mx=0,0,_xlfn.TEXTJOIN(" / ",TRUE,_xlfn._xlws.FILTER(_xlpm.cands,_xlpm.counts=_xlpm.mx)))
)</f>
        <v>Firenze/Fiorenza</v>
      </c>
      <c r="I334">
        <f>_xlfn.XLOOKUP(H334,'Place Profiles'!A:A,'Place Profiles'!B:B,"0")</f>
        <v>43.773821664204803</v>
      </c>
      <c r="J334">
        <f>_xlfn.XLOOKUP(H334,'Place Profiles'!A:A,'Place Profiles'!C:C,"0")</f>
        <v>11.2555362617661</v>
      </c>
    </row>
    <row r="335" spans="1:10" x14ac:dyDescent="0.45">
      <c r="A335" t="str">
        <v>ID_00334</v>
      </c>
      <c r="B335" t="str">
        <v>1629/01/03</v>
      </c>
      <c r="C335" t="str">
        <v>Siena</v>
      </c>
      <c r="D335" s="10">
        <f>_xlfn.XLOOKUP(C335,'Place Profiles'!A:A,'Place Profiles'!B:B,"0")</f>
        <v>43.3184768539152</v>
      </c>
      <c r="E335" s="10">
        <f>_xlfn.XLOOKUP(C335,'Place Profiles'!A:A,'Place Profiles'!C:C,"0")</f>
        <v>11.3310792700061</v>
      </c>
      <c r="F335" t="str">
        <v>de' Medici, Caterina</v>
      </c>
      <c r="G335" t="str">
        <v>de' Medici, Ferdinando II</v>
      </c>
      <c r="H335" cm="1">
        <f t="array" ref="H335">_xlfn.LET(
_xlpm.t,$G335,
_xlpm.cands,_xlfn._xlws.FILTER('Place Profiles'!$G$2:$G$929,'Place Profiles'!$G$2:$G$929&lt;&gt;""),
_xlpm.counts,COUNTIFS('Raw Data'!$G$2:$G$501,_xlpm.t,'Raw Data'!$F$2:$F$501,_xlpm.cands),
_xlpm.mx,MAX(_xlpm.counts),
IF(_xlpm.mx=0,0,_xlfn.TEXTJOIN(" / ",TRUE,_xlfn._xlws.FILTER(_xlpm.cands,_xlpm.counts=_xlpm.mx)))
)</f>
        <v>0</v>
      </c>
      <c r="I335" t="str">
        <f>_xlfn.XLOOKUP(H335,'Place Profiles'!A:A,'Place Profiles'!B:B,"0")</f>
        <v>0</v>
      </c>
      <c r="J335" t="str">
        <f>_xlfn.XLOOKUP(H335,'Place Profiles'!A:A,'Place Profiles'!C:C,"0")</f>
        <v>0</v>
      </c>
    </row>
    <row r="336" spans="1:10" x14ac:dyDescent="0.45">
      <c r="A336" t="str">
        <v>ID_00335</v>
      </c>
      <c r="B336" t="str">
        <v>1622/08/16</v>
      </c>
      <c r="C336" t="str">
        <v>Siena</v>
      </c>
      <c r="D336" s="10">
        <f>_xlfn.XLOOKUP(C336,'Place Profiles'!A:A,'Place Profiles'!B:B,"0")</f>
        <v>43.3184768539152</v>
      </c>
      <c r="E336" s="10">
        <f>_xlfn.XLOOKUP(C336,'Place Profiles'!A:A,'Place Profiles'!C:C,"0")</f>
        <v>11.3310792700061</v>
      </c>
      <c r="F336" t="str">
        <v>Malvezzi, Peritio</v>
      </c>
      <c r="G336" t="str">
        <v>von Habsburg, Maria Magdalena</v>
      </c>
      <c r="H336" t="str" cm="1">
        <f t="array" ref="H336">_xlfn.LET(
_xlpm.t,$G336,
_xlpm.cands,_xlfn._xlws.FILTER('Place Profiles'!$G$2:$G$929,'Place Profiles'!$G$2:$G$929&lt;&gt;""),
_xlpm.counts,COUNTIFS('Raw Data'!$G$2:$G$501,_xlpm.t,'Raw Data'!$F$2:$F$501,_xlpm.cands),
_xlpm.mx,MAX(_xlpm.counts),
IF(_xlpm.mx=0,0,_xlfn.TEXTJOIN(" / ",TRUE,_xlfn._xlws.FILTER(_xlpm.cands,_xlpm.counts=_xlpm.mx)))
)</f>
        <v>Firenze/Fiorenza</v>
      </c>
      <c r="I336">
        <f>_xlfn.XLOOKUP(H336,'Place Profiles'!A:A,'Place Profiles'!B:B,"0")</f>
        <v>43.773821664204803</v>
      </c>
      <c r="J336">
        <f>_xlfn.XLOOKUP(H336,'Place Profiles'!A:A,'Place Profiles'!C:C,"0")</f>
        <v>11.2555362617661</v>
      </c>
    </row>
    <row r="337" spans="1:10" x14ac:dyDescent="0.45">
      <c r="A337" t="str">
        <v>ID_00336</v>
      </c>
      <c r="B337" t="str">
        <v>1609/06/22</v>
      </c>
      <c r="C337" t="str">
        <v>Siena</v>
      </c>
      <c r="D337" s="10">
        <f>_xlfn.XLOOKUP(C337,'Place Profiles'!A:A,'Place Profiles'!B:B,"0")</f>
        <v>43.3184768539152</v>
      </c>
      <c r="E337" s="10">
        <f>_xlfn.XLOOKUP(C337,'Place Profiles'!A:A,'Place Profiles'!C:C,"0")</f>
        <v>11.3310792700061</v>
      </c>
      <c r="F337" t="str">
        <v>Pinocci, Turno</v>
      </c>
      <c r="G337" t="str">
        <v>von Habsburg, Maria Magdalena</v>
      </c>
      <c r="H337" t="str" cm="1">
        <f t="array" ref="H337">_xlfn.LET(
_xlpm.t,$G337,
_xlpm.cands,_xlfn._xlws.FILTER('Place Profiles'!$G$2:$G$929,'Place Profiles'!$G$2:$G$929&lt;&gt;""),
_xlpm.counts,COUNTIFS('Raw Data'!$G$2:$G$501,_xlpm.t,'Raw Data'!$F$2:$F$501,_xlpm.cands),
_xlpm.mx,MAX(_xlpm.counts),
IF(_xlpm.mx=0,0,_xlfn.TEXTJOIN(" / ",TRUE,_xlfn._xlws.FILTER(_xlpm.cands,_xlpm.counts=_xlpm.mx)))
)</f>
        <v>Firenze/Fiorenza</v>
      </c>
      <c r="I337">
        <f>_xlfn.XLOOKUP(H337,'Place Profiles'!A:A,'Place Profiles'!B:B,"0")</f>
        <v>43.773821664204803</v>
      </c>
      <c r="J337">
        <f>_xlfn.XLOOKUP(H337,'Place Profiles'!A:A,'Place Profiles'!C:C,"0")</f>
        <v>11.2555362617661</v>
      </c>
    </row>
    <row r="338" spans="1:10" x14ac:dyDescent="0.45">
      <c r="A338" t="str">
        <v>ID_00337</v>
      </c>
      <c r="B338" t="str">
        <v>1609/12/29</v>
      </c>
      <c r="C338" t="str">
        <v>Siena</v>
      </c>
      <c r="D338" s="10">
        <f>_xlfn.XLOOKUP(C338,'Place Profiles'!A:A,'Place Profiles'!B:B,"0")</f>
        <v>43.3184768539152</v>
      </c>
      <c r="E338" s="10">
        <f>_xlfn.XLOOKUP(C338,'Place Profiles'!A:A,'Place Profiles'!C:C,"0")</f>
        <v>11.3310792700061</v>
      </c>
      <c r="F338" t="str">
        <v>Piccolomini, Carlo</v>
      </c>
      <c r="G338" t="str">
        <v>von Habsburg, Maria Magdalena</v>
      </c>
      <c r="H338" t="str" cm="1">
        <f t="array" ref="H338">_xlfn.LET(
_xlpm.t,$G338,
_xlpm.cands,_xlfn._xlws.FILTER('Place Profiles'!$G$2:$G$929,'Place Profiles'!$G$2:$G$929&lt;&gt;""),
_xlpm.counts,COUNTIFS('Raw Data'!$G$2:$G$501,_xlpm.t,'Raw Data'!$F$2:$F$501,_xlpm.cands),
_xlpm.mx,MAX(_xlpm.counts),
IF(_xlpm.mx=0,0,_xlfn.TEXTJOIN(" / ",TRUE,_xlfn._xlws.FILTER(_xlpm.cands,_xlpm.counts=_xlpm.mx)))
)</f>
        <v>Firenze/Fiorenza</v>
      </c>
      <c r="I338">
        <f>_xlfn.XLOOKUP(H338,'Place Profiles'!A:A,'Place Profiles'!B:B,"0")</f>
        <v>43.773821664204803</v>
      </c>
      <c r="J338">
        <f>_xlfn.XLOOKUP(H338,'Place Profiles'!A:A,'Place Profiles'!C:C,"0")</f>
        <v>11.2555362617661</v>
      </c>
    </row>
    <row r="339" spans="1:10" x14ac:dyDescent="0.45">
      <c r="A339" t="str">
        <v>ID_00338</v>
      </c>
      <c r="B339" t="str">
        <v>1610/01/06</v>
      </c>
      <c r="C339" t="str">
        <v>Siena</v>
      </c>
      <c r="D339" s="10">
        <f>_xlfn.XLOOKUP(C339,'Place Profiles'!A:A,'Place Profiles'!B:B,"0")</f>
        <v>43.3184768539152</v>
      </c>
      <c r="E339" s="10">
        <f>_xlfn.XLOOKUP(C339,'Place Profiles'!A:A,'Place Profiles'!C:C,"0")</f>
        <v>11.3310792700061</v>
      </c>
      <c r="F339" t="str">
        <v xml:space="preserve">Gug.mi, Gio. Batta </v>
      </c>
      <c r="G339" t="str">
        <v>von Habsburg, Maria Magdalena</v>
      </c>
      <c r="H339" t="str" cm="1">
        <f t="array" ref="H339">_xlfn.LET(
_xlpm.t,$G339,
_xlpm.cands,_xlfn._xlws.FILTER('Place Profiles'!$G$2:$G$929,'Place Profiles'!$G$2:$G$929&lt;&gt;""),
_xlpm.counts,COUNTIFS('Raw Data'!$G$2:$G$501,_xlpm.t,'Raw Data'!$F$2:$F$501,_xlpm.cands),
_xlpm.mx,MAX(_xlpm.counts),
IF(_xlpm.mx=0,0,_xlfn.TEXTJOIN(" / ",TRUE,_xlfn._xlws.FILTER(_xlpm.cands,_xlpm.counts=_xlpm.mx)))
)</f>
        <v>Firenze/Fiorenza</v>
      </c>
      <c r="I339">
        <f>_xlfn.XLOOKUP(H339,'Place Profiles'!A:A,'Place Profiles'!B:B,"0")</f>
        <v>43.773821664204803</v>
      </c>
      <c r="J339">
        <f>_xlfn.XLOOKUP(H339,'Place Profiles'!A:A,'Place Profiles'!C:C,"0")</f>
        <v>11.2555362617661</v>
      </c>
    </row>
    <row r="340" spans="1:10" x14ac:dyDescent="0.45">
      <c r="A340" t="str">
        <v>ID_00339</v>
      </c>
      <c r="B340" t="str">
        <v>1610/06/21</v>
      </c>
      <c r="C340" t="str">
        <v>Siena</v>
      </c>
      <c r="D340" s="10">
        <f>_xlfn.XLOOKUP(C340,'Place Profiles'!A:A,'Place Profiles'!B:B,"0")</f>
        <v>43.3184768539152</v>
      </c>
      <c r="E340" s="10">
        <f>_xlfn.XLOOKUP(C340,'Place Profiles'!A:A,'Place Profiles'!C:C,"0")</f>
        <v>11.3310792700061</v>
      </c>
      <c r="F340" t="str">
        <v>Vecchi, Clemente</v>
      </c>
      <c r="G340" t="str">
        <v>von Habsburg, Maria Magdalena</v>
      </c>
      <c r="H340" t="str" cm="1">
        <f t="array" ref="H340">_xlfn.LET(
_xlpm.t,$G340,
_xlpm.cands,_xlfn._xlws.FILTER('Place Profiles'!$G$2:$G$929,'Place Profiles'!$G$2:$G$929&lt;&gt;""),
_xlpm.counts,COUNTIFS('Raw Data'!$G$2:$G$501,_xlpm.t,'Raw Data'!$F$2:$F$501,_xlpm.cands),
_xlpm.mx,MAX(_xlpm.counts),
IF(_xlpm.mx=0,0,_xlfn.TEXTJOIN(" / ",TRUE,_xlfn._xlws.FILTER(_xlpm.cands,_xlpm.counts=_xlpm.mx)))
)</f>
        <v>Firenze/Fiorenza</v>
      </c>
      <c r="I340">
        <f>_xlfn.XLOOKUP(H340,'Place Profiles'!A:A,'Place Profiles'!B:B,"0")</f>
        <v>43.773821664204803</v>
      </c>
      <c r="J340">
        <f>_xlfn.XLOOKUP(H340,'Place Profiles'!A:A,'Place Profiles'!C:C,"0")</f>
        <v>11.2555362617661</v>
      </c>
    </row>
    <row r="341" spans="1:10" x14ac:dyDescent="0.45">
      <c r="A341" t="str">
        <v>ID_00340</v>
      </c>
      <c r="B341" t="str">
        <v>1610/06/27</v>
      </c>
      <c r="C341" t="str">
        <v>M. Puli.no</v>
      </c>
      <c r="D341" s="10">
        <f>_xlfn.XLOOKUP(C341,'Place Profiles'!A:A,'Place Profiles'!B:B,"0")</f>
        <v>43.867516648251403</v>
      </c>
      <c r="E341" s="10">
        <f>_xlfn.XLOOKUP(C341,'Place Profiles'!A:A,'Place Profiles'!C:C,"0")</f>
        <v>12.365874400461299</v>
      </c>
      <c r="F341" t="str">
        <v>Sforza, Unnamed</v>
      </c>
      <c r="G341" t="str">
        <v>von Habsburg, Maria Magdalena</v>
      </c>
      <c r="H341" t="str" cm="1">
        <f t="array" ref="H341">_xlfn.LET(
_xlpm.t,$G341,
_xlpm.cands,_xlfn._xlws.FILTER('Place Profiles'!$G$2:$G$929,'Place Profiles'!$G$2:$G$929&lt;&gt;""),
_xlpm.counts,COUNTIFS('Raw Data'!$G$2:$G$501,_xlpm.t,'Raw Data'!$F$2:$F$501,_xlpm.cands),
_xlpm.mx,MAX(_xlpm.counts),
IF(_xlpm.mx=0,0,_xlfn.TEXTJOIN(" / ",TRUE,_xlfn._xlws.FILTER(_xlpm.cands,_xlpm.counts=_xlpm.mx)))
)</f>
        <v>Firenze/Fiorenza</v>
      </c>
      <c r="I341">
        <f>_xlfn.XLOOKUP(H341,'Place Profiles'!A:A,'Place Profiles'!B:B,"0")</f>
        <v>43.773821664204803</v>
      </c>
      <c r="J341">
        <f>_xlfn.XLOOKUP(H341,'Place Profiles'!A:A,'Place Profiles'!C:C,"0")</f>
        <v>11.2555362617661</v>
      </c>
    </row>
    <row r="342" spans="1:10" x14ac:dyDescent="0.45">
      <c r="A342" t="str">
        <v>ID_00341</v>
      </c>
      <c r="B342" t="str">
        <v>1611/12/22</v>
      </c>
      <c r="C342" t="str">
        <v>Siena</v>
      </c>
      <c r="D342" s="10">
        <f>_xlfn.XLOOKUP(C342,'Place Profiles'!A:A,'Place Profiles'!B:B,"0")</f>
        <v>43.3184768539152</v>
      </c>
      <c r="E342" s="10">
        <f>_xlfn.XLOOKUP(C342,'Place Profiles'!A:A,'Place Profiles'!C:C,"0")</f>
        <v>11.3310792700061</v>
      </c>
      <c r="F342" t="str">
        <v>Borghesi, Calidonia</v>
      </c>
      <c r="G342" t="str">
        <v>von Habsburg, Maria Magdalena</v>
      </c>
      <c r="H342" t="str" cm="1">
        <f t="array" ref="H342">_xlfn.LET(
_xlpm.t,$G342,
_xlpm.cands,_xlfn._xlws.FILTER('Place Profiles'!$G$2:$G$929,'Place Profiles'!$G$2:$G$929&lt;&gt;""),
_xlpm.counts,COUNTIFS('Raw Data'!$G$2:$G$501,_xlpm.t,'Raw Data'!$F$2:$F$501,_xlpm.cands),
_xlpm.mx,MAX(_xlpm.counts),
IF(_xlpm.mx=0,0,_xlfn.TEXTJOIN(" / ",TRUE,_xlfn._xlws.FILTER(_xlpm.cands,_xlpm.counts=_xlpm.mx)))
)</f>
        <v>Firenze/Fiorenza</v>
      </c>
      <c r="I342">
        <f>_xlfn.XLOOKUP(H342,'Place Profiles'!A:A,'Place Profiles'!B:B,"0")</f>
        <v>43.773821664204803</v>
      </c>
      <c r="J342">
        <f>_xlfn.XLOOKUP(H342,'Place Profiles'!A:A,'Place Profiles'!C:C,"0")</f>
        <v>11.2555362617661</v>
      </c>
    </row>
    <row r="343" spans="1:10" x14ac:dyDescent="0.45">
      <c r="A343" t="str">
        <v>ID_00342</v>
      </c>
      <c r="B343" t="str">
        <v>1611/01/19</v>
      </c>
      <c r="C343" t="str">
        <v>Siena</v>
      </c>
      <c r="D343" s="10">
        <f>_xlfn.XLOOKUP(C343,'Place Profiles'!A:A,'Place Profiles'!B:B,"0")</f>
        <v>43.3184768539152</v>
      </c>
      <c r="E343" s="10">
        <f>_xlfn.XLOOKUP(C343,'Place Profiles'!A:A,'Place Profiles'!C:C,"0")</f>
        <v>11.3310792700061</v>
      </c>
      <c r="F343" t="str">
        <v>Gonzaga, Carlo</v>
      </c>
      <c r="G343" t="str">
        <v>de' Medici, Cosimo II</v>
      </c>
      <c r="H343" cm="1">
        <f t="array" ref="H343">_xlfn.LET(
_xlpm.t,$G343,
_xlpm.cands,_xlfn._xlws.FILTER('Place Profiles'!$G$2:$G$929,'Place Profiles'!$G$2:$G$929&lt;&gt;""),
_xlpm.counts,COUNTIFS('Raw Data'!$G$2:$G$501,_xlpm.t,'Raw Data'!$F$2:$F$501,_xlpm.cands),
_xlpm.mx,MAX(_xlpm.counts),
IF(_xlpm.mx=0,0,_xlfn.TEXTJOIN(" / ",TRUE,_xlfn._xlws.FILTER(_xlpm.cands,_xlpm.counts=_xlpm.mx)))
)</f>
        <v>0</v>
      </c>
      <c r="I343" t="str">
        <f>_xlfn.XLOOKUP(H343,'Place Profiles'!A:A,'Place Profiles'!B:B,"0")</f>
        <v>0</v>
      </c>
      <c r="J343" t="str">
        <f>_xlfn.XLOOKUP(H343,'Place Profiles'!A:A,'Place Profiles'!C:C,"0")</f>
        <v>0</v>
      </c>
    </row>
    <row r="344" spans="1:10" x14ac:dyDescent="0.45">
      <c r="A344" t="str">
        <v>ID_00343</v>
      </c>
      <c r="B344" t="str">
        <v>1611/01/22</v>
      </c>
      <c r="C344" t="str">
        <v>Siena</v>
      </c>
      <c r="D344" s="10">
        <f>_xlfn.XLOOKUP(C344,'Place Profiles'!A:A,'Place Profiles'!B:B,"0")</f>
        <v>43.3184768539152</v>
      </c>
      <c r="E344" s="10">
        <f>_xlfn.XLOOKUP(C344,'Place Profiles'!A:A,'Place Profiles'!C:C,"0")</f>
        <v>11.3310792700061</v>
      </c>
      <c r="F344" t="str">
        <v>?, Honesta</v>
      </c>
      <c r="G344" t="str">
        <v>de' Medici, Cosimo II</v>
      </c>
      <c r="H344" cm="1">
        <f t="array" ref="H344">_xlfn.LET(
_xlpm.t,$G344,
_xlpm.cands,_xlfn._xlws.FILTER('Place Profiles'!$G$2:$G$929,'Place Profiles'!$G$2:$G$929&lt;&gt;""),
_xlpm.counts,COUNTIFS('Raw Data'!$G$2:$G$501,_xlpm.t,'Raw Data'!$F$2:$F$501,_xlpm.cands),
_xlpm.mx,MAX(_xlpm.counts),
IF(_xlpm.mx=0,0,_xlfn.TEXTJOIN(" / ",TRUE,_xlfn._xlws.FILTER(_xlpm.cands,_xlpm.counts=_xlpm.mx)))
)</f>
        <v>0</v>
      </c>
      <c r="I344" t="str">
        <f>_xlfn.XLOOKUP(H344,'Place Profiles'!A:A,'Place Profiles'!B:B,"0")</f>
        <v>0</v>
      </c>
      <c r="J344" t="str">
        <f>_xlfn.XLOOKUP(H344,'Place Profiles'!A:A,'Place Profiles'!C:C,"0")</f>
        <v>0</v>
      </c>
    </row>
    <row r="345" spans="1:10" x14ac:dyDescent="0.45">
      <c r="A345" t="str">
        <v>ID_00344</v>
      </c>
      <c r="B345" t="str">
        <v>1611/01/22</v>
      </c>
      <c r="C345" t="str">
        <v>Siena</v>
      </c>
      <c r="D345" s="10">
        <f>_xlfn.XLOOKUP(C345,'Place Profiles'!A:A,'Place Profiles'!B:B,"0")</f>
        <v>43.3184768539152</v>
      </c>
      <c r="E345" s="10">
        <f>_xlfn.XLOOKUP(C345,'Place Profiles'!A:A,'Place Profiles'!C:C,"0")</f>
        <v>11.3310792700061</v>
      </c>
      <c r="F345" t="str">
        <v>Gonzaga, Carlo</v>
      </c>
      <c r="G345" t="str">
        <v>de' Medici, Cosimo II</v>
      </c>
      <c r="H345" cm="1">
        <f t="array" ref="H345">_xlfn.LET(
_xlpm.t,$G345,
_xlpm.cands,_xlfn._xlws.FILTER('Place Profiles'!$G$2:$G$929,'Place Profiles'!$G$2:$G$929&lt;&gt;""),
_xlpm.counts,COUNTIFS('Raw Data'!$G$2:$G$501,_xlpm.t,'Raw Data'!$F$2:$F$501,_xlpm.cands),
_xlpm.mx,MAX(_xlpm.counts),
IF(_xlpm.mx=0,0,_xlfn.TEXTJOIN(" / ",TRUE,_xlfn._xlws.FILTER(_xlpm.cands,_xlpm.counts=_xlpm.mx)))
)</f>
        <v>0</v>
      </c>
      <c r="I345" t="str">
        <f>_xlfn.XLOOKUP(H345,'Place Profiles'!A:A,'Place Profiles'!B:B,"0")</f>
        <v>0</v>
      </c>
      <c r="J345" t="str">
        <f>_xlfn.XLOOKUP(H345,'Place Profiles'!A:A,'Place Profiles'!C:C,"0")</f>
        <v>0</v>
      </c>
    </row>
    <row r="346" spans="1:10" x14ac:dyDescent="0.45">
      <c r="A346" t="str">
        <v>ID_00345</v>
      </c>
      <c r="B346" t="str">
        <v>1611/02/20</v>
      </c>
      <c r="C346" t="str">
        <v>Siena</v>
      </c>
      <c r="D346" s="10">
        <f>_xlfn.XLOOKUP(C346,'Place Profiles'!A:A,'Place Profiles'!B:B,"0")</f>
        <v>43.3184768539152</v>
      </c>
      <c r="E346" s="10">
        <f>_xlfn.XLOOKUP(C346,'Place Profiles'!A:A,'Place Profiles'!C:C,"0")</f>
        <v>11.3310792700061</v>
      </c>
      <c r="F346" t="str">
        <v>Bulgarini, Bellisario</v>
      </c>
      <c r="G346" t="str">
        <v>von Habsburg, Maria Magdalena</v>
      </c>
      <c r="H346" t="str" cm="1">
        <f t="array" ref="H346">_xlfn.LET(
_xlpm.t,$G346,
_xlpm.cands,_xlfn._xlws.FILTER('Place Profiles'!$G$2:$G$929,'Place Profiles'!$G$2:$G$929&lt;&gt;""),
_xlpm.counts,COUNTIFS('Raw Data'!$G$2:$G$501,_xlpm.t,'Raw Data'!$F$2:$F$501,_xlpm.cands),
_xlpm.mx,MAX(_xlpm.counts),
IF(_xlpm.mx=0,0,_xlfn.TEXTJOIN(" / ",TRUE,_xlfn._xlws.FILTER(_xlpm.cands,_xlpm.counts=_xlpm.mx)))
)</f>
        <v>Firenze/Fiorenza</v>
      </c>
      <c r="I346">
        <f>_xlfn.XLOOKUP(H346,'Place Profiles'!A:A,'Place Profiles'!B:B,"0")</f>
        <v>43.773821664204803</v>
      </c>
      <c r="J346">
        <f>_xlfn.XLOOKUP(H346,'Place Profiles'!A:A,'Place Profiles'!C:C,"0")</f>
        <v>11.2555362617661</v>
      </c>
    </row>
    <row r="347" spans="1:10" x14ac:dyDescent="0.45">
      <c r="A347" t="str">
        <v>ID_00346</v>
      </c>
      <c r="B347" t="str">
        <v>1611/02/21</v>
      </c>
      <c r="C347" t="str">
        <v>Giglio</v>
      </c>
      <c r="D347" s="10">
        <f>_xlfn.XLOOKUP(C347,'Place Profiles'!A:A,'Place Profiles'!B:B,"0")</f>
        <v>42.360515010118696</v>
      </c>
      <c r="E347" s="10">
        <f>_xlfn.XLOOKUP(C347,'Place Profiles'!A:A,'Place Profiles'!C:C,"0")</f>
        <v>10.901170501753599</v>
      </c>
      <c r="F347" t="str">
        <v>Brunaceli, Ottaviano</v>
      </c>
      <c r="G347" t="str">
        <v>de' Medici, Cosimo II</v>
      </c>
      <c r="H347" cm="1">
        <f t="array" ref="H347">_xlfn.LET(
_xlpm.t,$G347,
_xlpm.cands,_xlfn._xlws.FILTER('Place Profiles'!$G$2:$G$929,'Place Profiles'!$G$2:$G$929&lt;&gt;""),
_xlpm.counts,COUNTIFS('Raw Data'!$G$2:$G$501,_xlpm.t,'Raw Data'!$F$2:$F$501,_xlpm.cands),
_xlpm.mx,MAX(_xlpm.counts),
IF(_xlpm.mx=0,0,_xlfn.TEXTJOIN(" / ",TRUE,_xlfn._xlws.FILTER(_xlpm.cands,_xlpm.counts=_xlpm.mx)))
)</f>
        <v>0</v>
      </c>
      <c r="I347" t="str">
        <f>_xlfn.XLOOKUP(H347,'Place Profiles'!A:A,'Place Profiles'!B:B,"0")</f>
        <v>0</v>
      </c>
      <c r="J347" t="str">
        <f>_xlfn.XLOOKUP(H347,'Place Profiles'!A:A,'Place Profiles'!C:C,"0")</f>
        <v>0</v>
      </c>
    </row>
    <row r="348" spans="1:10" x14ac:dyDescent="0.45">
      <c r="A348" t="str">
        <v>ID_00347</v>
      </c>
      <c r="B348" t="str">
        <v>1611/03/05</v>
      </c>
      <c r="C348" t="str">
        <v>Siena</v>
      </c>
      <c r="D348" s="10">
        <f>_xlfn.XLOOKUP(C348,'Place Profiles'!A:A,'Place Profiles'!B:B,"0")</f>
        <v>43.3184768539152</v>
      </c>
      <c r="E348" s="10">
        <f>_xlfn.XLOOKUP(C348,'Place Profiles'!A:A,'Place Profiles'!C:C,"0")</f>
        <v>11.3310792700061</v>
      </c>
      <c r="F348" t="str">
        <v>Multiple</v>
      </c>
      <c r="G348" t="str">
        <v>de' Medici, Cosimo II</v>
      </c>
      <c r="H348" cm="1">
        <f t="array" ref="H348">_xlfn.LET(
_xlpm.t,$G348,
_xlpm.cands,_xlfn._xlws.FILTER('Place Profiles'!$G$2:$G$929,'Place Profiles'!$G$2:$G$929&lt;&gt;""),
_xlpm.counts,COUNTIFS('Raw Data'!$G$2:$G$501,_xlpm.t,'Raw Data'!$F$2:$F$501,_xlpm.cands),
_xlpm.mx,MAX(_xlpm.counts),
IF(_xlpm.mx=0,0,_xlfn.TEXTJOIN(" / ",TRUE,_xlfn._xlws.FILTER(_xlpm.cands,_xlpm.counts=_xlpm.mx)))
)</f>
        <v>0</v>
      </c>
      <c r="I348" t="str">
        <f>_xlfn.XLOOKUP(H348,'Place Profiles'!A:A,'Place Profiles'!B:B,"0")</f>
        <v>0</v>
      </c>
      <c r="J348" t="str">
        <f>_xlfn.XLOOKUP(H348,'Place Profiles'!A:A,'Place Profiles'!C:C,"0")</f>
        <v>0</v>
      </c>
    </row>
    <row r="349" spans="1:10" x14ac:dyDescent="0.45">
      <c r="A349" t="str">
        <v>ID_00348</v>
      </c>
      <c r="B349" t="str">
        <v>1611/04/07</v>
      </c>
      <c r="C349" t="str">
        <v>Siena</v>
      </c>
      <c r="D349" s="10">
        <f>_xlfn.XLOOKUP(C349,'Place Profiles'!A:A,'Place Profiles'!B:B,"0")</f>
        <v>43.3184768539152</v>
      </c>
      <c r="E349" s="10">
        <f>_xlfn.XLOOKUP(C349,'Place Profiles'!A:A,'Place Profiles'!C:C,"0")</f>
        <v>11.3310792700061</v>
      </c>
      <c r="F349" t="str">
        <v>Gonzaga, Carlo</v>
      </c>
      <c r="G349" t="str">
        <v>de' Medici, Cosimo II</v>
      </c>
      <c r="H349" cm="1">
        <f t="array" ref="H349">_xlfn.LET(
_xlpm.t,$G349,
_xlpm.cands,_xlfn._xlws.FILTER('Place Profiles'!$G$2:$G$929,'Place Profiles'!$G$2:$G$929&lt;&gt;""),
_xlpm.counts,COUNTIFS('Raw Data'!$G$2:$G$501,_xlpm.t,'Raw Data'!$F$2:$F$501,_xlpm.cands),
_xlpm.mx,MAX(_xlpm.counts),
IF(_xlpm.mx=0,0,_xlfn.TEXTJOIN(" / ",TRUE,_xlfn._xlws.FILTER(_xlpm.cands,_xlpm.counts=_xlpm.mx)))
)</f>
        <v>0</v>
      </c>
      <c r="I349" t="str">
        <f>_xlfn.XLOOKUP(H349,'Place Profiles'!A:A,'Place Profiles'!B:B,"0")</f>
        <v>0</v>
      </c>
      <c r="J349" t="str">
        <f>_xlfn.XLOOKUP(H349,'Place Profiles'!A:A,'Place Profiles'!C:C,"0")</f>
        <v>0</v>
      </c>
    </row>
    <row r="350" spans="1:10" x14ac:dyDescent="0.45">
      <c r="A350" t="str">
        <v>ID_00349</v>
      </c>
      <c r="B350" t="str">
        <v>1622/08/20</v>
      </c>
      <c r="C350" t="str">
        <v>Grosseto</v>
      </c>
      <c r="D350" s="10">
        <f>_xlfn.XLOOKUP(C350,'Place Profiles'!A:A,'Place Profiles'!B:B,"0")</f>
        <v>42.763567464085199</v>
      </c>
      <c r="E350" s="10">
        <f>_xlfn.XLOOKUP(C350,'Place Profiles'!A:A,'Place Profiles'!C:C,"0")</f>
        <v>11.110316226026001</v>
      </c>
      <c r="F350" t="str">
        <v>?, Laura</v>
      </c>
      <c r="G350" t="str">
        <v>von Habsburg, Maria Magdalena</v>
      </c>
      <c r="H350" t="str" cm="1">
        <f t="array" ref="H350">_xlfn.LET(
_xlpm.t,$G350,
_xlpm.cands,_xlfn._xlws.FILTER('Place Profiles'!$G$2:$G$929,'Place Profiles'!$G$2:$G$929&lt;&gt;""),
_xlpm.counts,COUNTIFS('Raw Data'!$G$2:$G$501,_xlpm.t,'Raw Data'!$F$2:$F$501,_xlpm.cands),
_xlpm.mx,MAX(_xlpm.counts),
IF(_xlpm.mx=0,0,_xlfn.TEXTJOIN(" / ",TRUE,_xlfn._xlws.FILTER(_xlpm.cands,_xlpm.counts=_xlpm.mx)))
)</f>
        <v>Firenze/Fiorenza</v>
      </c>
      <c r="I350">
        <f>_xlfn.XLOOKUP(H350,'Place Profiles'!A:A,'Place Profiles'!B:B,"0")</f>
        <v>43.773821664204803</v>
      </c>
      <c r="J350">
        <f>_xlfn.XLOOKUP(H350,'Place Profiles'!A:A,'Place Profiles'!C:C,"0")</f>
        <v>11.2555362617661</v>
      </c>
    </row>
    <row r="351" spans="1:10" x14ac:dyDescent="0.45">
      <c r="A351" t="str">
        <v>ID_00350</v>
      </c>
      <c r="B351" t="str">
        <v>1611/05/13</v>
      </c>
      <c r="C351" t="str">
        <v>Siena</v>
      </c>
      <c r="D351" s="10">
        <f>_xlfn.XLOOKUP(C351,'Place Profiles'!A:A,'Place Profiles'!B:B,"0")</f>
        <v>43.3184768539152</v>
      </c>
      <c r="E351" s="10">
        <f>_xlfn.XLOOKUP(C351,'Place Profiles'!A:A,'Place Profiles'!C:C,"0")</f>
        <v>11.3310792700061</v>
      </c>
      <c r="F351" t="str">
        <v>?, Maria Francesca</v>
      </c>
      <c r="G351" t="str">
        <v>Unnamed</v>
      </c>
      <c r="H351" t="str" cm="1">
        <f t="array" ref="H351">_xlfn.LET(
_xlpm.t,$G351,
_xlpm.cands,_xlfn._xlws.FILTER('Place Profiles'!$G$2:$G$929,'Place Profiles'!$G$2:$G$929&lt;&gt;""),
_xlpm.counts,COUNTIFS('Raw Data'!$G$2:$G$501,_xlpm.t,'Raw Data'!$F$2:$F$501,_xlpm.cands),
_xlpm.mx,MAX(_xlpm.counts),
IF(_xlpm.mx=0,0,_xlfn.TEXTJOIN(" / ",TRUE,_xlfn._xlws.FILTER(_xlpm.cands,_xlpm.counts=_xlpm.mx)))
)</f>
        <v>Napoli</v>
      </c>
      <c r="I351">
        <f>_xlfn.XLOOKUP(H351,'Place Profiles'!A:A,'Place Profiles'!B:B,"0")</f>
        <v>40.848961755168702</v>
      </c>
      <c r="J351">
        <f>_xlfn.XLOOKUP(H351,'Place Profiles'!A:A,'Place Profiles'!C:C,"0")</f>
        <v>14.271792379340599</v>
      </c>
    </row>
    <row r="352" spans="1:10" x14ac:dyDescent="0.45">
      <c r="A352" t="str">
        <v>ID_00351</v>
      </c>
      <c r="B352" t="str">
        <v>1611/06/22</v>
      </c>
      <c r="C352" t="str">
        <v>Siena</v>
      </c>
      <c r="D352" s="10">
        <f>_xlfn.XLOOKUP(C352,'Place Profiles'!A:A,'Place Profiles'!B:B,"0")</f>
        <v>43.3184768539152</v>
      </c>
      <c r="E352" s="10">
        <f>_xlfn.XLOOKUP(C352,'Place Profiles'!A:A,'Place Profiles'!C:C,"0")</f>
        <v>11.3310792700061</v>
      </c>
      <c r="F352" t="str">
        <v>Vecchi, Clemente</v>
      </c>
      <c r="G352" t="str">
        <v>von Habsburg, Maria Magdalena</v>
      </c>
      <c r="H352" t="str" cm="1">
        <f t="array" ref="H352">_xlfn.LET(
_xlpm.t,$G352,
_xlpm.cands,_xlfn._xlws.FILTER('Place Profiles'!$G$2:$G$929,'Place Profiles'!$G$2:$G$929&lt;&gt;""),
_xlpm.counts,COUNTIFS('Raw Data'!$G$2:$G$501,_xlpm.t,'Raw Data'!$F$2:$F$501,_xlpm.cands),
_xlpm.mx,MAX(_xlpm.counts),
IF(_xlpm.mx=0,0,_xlfn.TEXTJOIN(" / ",TRUE,_xlfn._xlws.FILTER(_xlpm.cands,_xlpm.counts=_xlpm.mx)))
)</f>
        <v>Firenze/Fiorenza</v>
      </c>
      <c r="I352">
        <f>_xlfn.XLOOKUP(H352,'Place Profiles'!A:A,'Place Profiles'!B:B,"0")</f>
        <v>43.773821664204803</v>
      </c>
      <c r="J352">
        <f>_xlfn.XLOOKUP(H352,'Place Profiles'!A:A,'Place Profiles'!C:C,"0")</f>
        <v>11.2555362617661</v>
      </c>
    </row>
    <row r="353" spans="1:10" x14ac:dyDescent="0.45">
      <c r="A353" t="str">
        <v>ID_00352</v>
      </c>
      <c r="B353" t="str">
        <v>1611/07/07</v>
      </c>
      <c r="C353" t="str">
        <v>Siena</v>
      </c>
      <c r="D353" s="10">
        <f>_xlfn.XLOOKUP(C353,'Place Profiles'!A:A,'Place Profiles'!B:B,"0")</f>
        <v>43.3184768539152</v>
      </c>
      <c r="E353" s="10">
        <f>_xlfn.XLOOKUP(C353,'Place Profiles'!A:A,'Place Profiles'!C:C,"0")</f>
        <v>11.3310792700061</v>
      </c>
      <c r="F353" t="str">
        <v>Gonzaga, Carlo</v>
      </c>
      <c r="G353" t="str">
        <v>von Habsburg, Maria Magdalena</v>
      </c>
      <c r="H353" t="str" cm="1">
        <f t="array" ref="H353">_xlfn.LET(
_xlpm.t,$G353,
_xlpm.cands,_xlfn._xlws.FILTER('Place Profiles'!$G$2:$G$929,'Place Profiles'!$G$2:$G$929&lt;&gt;""),
_xlpm.counts,COUNTIFS('Raw Data'!$G$2:$G$501,_xlpm.t,'Raw Data'!$F$2:$F$501,_xlpm.cands),
_xlpm.mx,MAX(_xlpm.counts),
IF(_xlpm.mx=0,0,_xlfn.TEXTJOIN(" / ",TRUE,_xlfn._xlws.FILTER(_xlpm.cands,_xlpm.counts=_xlpm.mx)))
)</f>
        <v>Firenze/Fiorenza</v>
      </c>
      <c r="I353">
        <f>_xlfn.XLOOKUP(H353,'Place Profiles'!A:A,'Place Profiles'!B:B,"0")</f>
        <v>43.773821664204803</v>
      </c>
      <c r="J353">
        <f>_xlfn.XLOOKUP(H353,'Place Profiles'!A:A,'Place Profiles'!C:C,"0")</f>
        <v>11.2555362617661</v>
      </c>
    </row>
    <row r="354" spans="1:10" x14ac:dyDescent="0.45">
      <c r="A354" t="str">
        <v>ID_00353</v>
      </c>
      <c r="B354" t="str">
        <v>1611/11/25</v>
      </c>
      <c r="C354" t="str">
        <v>Siena</v>
      </c>
      <c r="D354" s="10">
        <f>_xlfn.XLOOKUP(C354,'Place Profiles'!A:A,'Place Profiles'!B:B,"0")</f>
        <v>43.3184768539152</v>
      </c>
      <c r="E354" s="10">
        <f>_xlfn.XLOOKUP(C354,'Place Profiles'!A:A,'Place Profiles'!C:C,"0")</f>
        <v>11.3310792700061</v>
      </c>
      <c r="F354" t="str">
        <v>Borghesi, Calidonia</v>
      </c>
      <c r="G354" t="str">
        <v>von Habsburg, Maria Magdalena</v>
      </c>
      <c r="H354" t="str" cm="1">
        <f t="array" ref="H354">_xlfn.LET(
_xlpm.t,$G354,
_xlpm.cands,_xlfn._xlws.FILTER('Place Profiles'!$G$2:$G$929,'Place Profiles'!$G$2:$G$929&lt;&gt;""),
_xlpm.counts,COUNTIFS('Raw Data'!$G$2:$G$501,_xlpm.t,'Raw Data'!$F$2:$F$501,_xlpm.cands),
_xlpm.mx,MAX(_xlpm.counts),
IF(_xlpm.mx=0,0,_xlfn.TEXTJOIN(" / ",TRUE,_xlfn._xlws.FILTER(_xlpm.cands,_xlpm.counts=_xlpm.mx)))
)</f>
        <v>Firenze/Fiorenza</v>
      </c>
      <c r="I354">
        <f>_xlfn.XLOOKUP(H354,'Place Profiles'!A:A,'Place Profiles'!B:B,"0")</f>
        <v>43.773821664204803</v>
      </c>
      <c r="J354">
        <f>_xlfn.XLOOKUP(H354,'Place Profiles'!A:A,'Place Profiles'!C:C,"0")</f>
        <v>11.2555362617661</v>
      </c>
    </row>
    <row r="355" spans="1:10" x14ac:dyDescent="0.45">
      <c r="A355" t="str">
        <v>ID_00354</v>
      </c>
      <c r="B355" t="str">
        <v>1611/12/20</v>
      </c>
      <c r="C355" t="str">
        <v>Siena</v>
      </c>
      <c r="D355" s="10">
        <f>_xlfn.XLOOKUP(C355,'Place Profiles'!A:A,'Place Profiles'!B:B,"0")</f>
        <v>43.3184768539152</v>
      </c>
      <c r="E355" s="10">
        <f>_xlfn.XLOOKUP(C355,'Place Profiles'!A:A,'Place Profiles'!C:C,"0")</f>
        <v>11.3310792700061</v>
      </c>
      <c r="F355" t="str">
        <v>Pitt__i Ma_.co, Francesco</v>
      </c>
      <c r="G355" t="str">
        <v>de' Medici, Cosimo II</v>
      </c>
      <c r="H355" cm="1">
        <f t="array" ref="H355">_xlfn.LET(
_xlpm.t,$G355,
_xlpm.cands,_xlfn._xlws.FILTER('Place Profiles'!$G$2:$G$929,'Place Profiles'!$G$2:$G$929&lt;&gt;""),
_xlpm.counts,COUNTIFS('Raw Data'!$G$2:$G$501,_xlpm.t,'Raw Data'!$F$2:$F$501,_xlpm.cands),
_xlpm.mx,MAX(_xlpm.counts),
IF(_xlpm.mx=0,0,_xlfn.TEXTJOIN(" / ",TRUE,_xlfn._xlws.FILTER(_xlpm.cands,_xlpm.counts=_xlpm.mx)))
)</f>
        <v>0</v>
      </c>
      <c r="I355" t="str">
        <f>_xlfn.XLOOKUP(H355,'Place Profiles'!A:A,'Place Profiles'!B:B,"0")</f>
        <v>0</v>
      </c>
      <c r="J355" t="str">
        <f>_xlfn.XLOOKUP(H355,'Place Profiles'!A:A,'Place Profiles'!C:C,"0")</f>
        <v>0</v>
      </c>
    </row>
    <row r="356" spans="1:10" x14ac:dyDescent="0.45">
      <c r="A356" t="str">
        <v>ID_00355</v>
      </c>
      <c r="B356" t="str">
        <v>1612/01/03</v>
      </c>
      <c r="C356" t="str">
        <v>Unknown</v>
      </c>
      <c r="D356" s="10">
        <f>_xlfn.XLOOKUP(C356,'Place Profiles'!A:A,'Place Profiles'!B:B,"0")</f>
        <v>0</v>
      </c>
      <c r="E356" s="10">
        <f>_xlfn.XLOOKUP(C356,'Place Profiles'!A:A,'Place Profiles'!C:C,"0")</f>
        <v>0</v>
      </c>
      <c r="F356" t="str">
        <v>Rovere, __assil_a</v>
      </c>
      <c r="G356" t="str">
        <v>Unnamed</v>
      </c>
      <c r="H356" t="str" cm="1">
        <f t="array" ref="H356">_xlfn.LET(
_xlpm.t,$G356,
_xlpm.cands,_xlfn._xlws.FILTER('Place Profiles'!$G$2:$G$929,'Place Profiles'!$G$2:$G$929&lt;&gt;""),
_xlpm.counts,COUNTIFS('Raw Data'!$G$2:$G$501,_xlpm.t,'Raw Data'!$F$2:$F$501,_xlpm.cands),
_xlpm.mx,MAX(_xlpm.counts),
IF(_xlpm.mx=0,0,_xlfn.TEXTJOIN(" / ",TRUE,_xlfn._xlws.FILTER(_xlpm.cands,_xlpm.counts=_xlpm.mx)))
)</f>
        <v>Napoli</v>
      </c>
      <c r="I356">
        <f>_xlfn.XLOOKUP(H356,'Place Profiles'!A:A,'Place Profiles'!B:B,"0")</f>
        <v>40.848961755168702</v>
      </c>
      <c r="J356">
        <f>_xlfn.XLOOKUP(H356,'Place Profiles'!A:A,'Place Profiles'!C:C,"0")</f>
        <v>14.271792379340599</v>
      </c>
    </row>
    <row r="357" spans="1:10" x14ac:dyDescent="0.45">
      <c r="A357" t="str">
        <v>ID_00356</v>
      </c>
      <c r="B357" t="str">
        <v>1612/01/06</v>
      </c>
      <c r="C357" t="str">
        <v>Siena</v>
      </c>
      <c r="D357" s="10">
        <f>_xlfn.XLOOKUP(C357,'Place Profiles'!A:A,'Place Profiles'!B:B,"0")</f>
        <v>43.3184768539152</v>
      </c>
      <c r="E357" s="10">
        <f>_xlfn.XLOOKUP(C357,'Place Profiles'!A:A,'Place Profiles'!C:C,"0")</f>
        <v>11.3310792700061</v>
      </c>
      <c r="F357" t="str">
        <v>Finetti, Latt.o</v>
      </c>
      <c r="G357" t="str">
        <v>von Habsburg, Maria Magdalena</v>
      </c>
      <c r="H357" t="str" cm="1">
        <f t="array" ref="H357">_xlfn.LET(
_xlpm.t,$G357,
_xlpm.cands,_xlfn._xlws.FILTER('Place Profiles'!$G$2:$G$929,'Place Profiles'!$G$2:$G$929&lt;&gt;""),
_xlpm.counts,COUNTIFS('Raw Data'!$G$2:$G$501,_xlpm.t,'Raw Data'!$F$2:$F$501,_xlpm.cands),
_xlpm.mx,MAX(_xlpm.counts),
IF(_xlpm.mx=0,0,_xlfn.TEXTJOIN(" / ",TRUE,_xlfn._xlws.FILTER(_xlpm.cands,_xlpm.counts=_xlpm.mx)))
)</f>
        <v>Firenze/Fiorenza</v>
      </c>
      <c r="I357">
        <f>_xlfn.XLOOKUP(H357,'Place Profiles'!A:A,'Place Profiles'!B:B,"0")</f>
        <v>43.773821664204803</v>
      </c>
      <c r="J357">
        <f>_xlfn.XLOOKUP(H357,'Place Profiles'!A:A,'Place Profiles'!C:C,"0")</f>
        <v>11.2555362617661</v>
      </c>
    </row>
    <row r="358" spans="1:10" x14ac:dyDescent="0.45">
      <c r="A358" t="str">
        <v>ID_00357</v>
      </c>
      <c r="B358" t="str">
        <v>1612/02/18</v>
      </c>
      <c r="C358" t="str">
        <v>Siena</v>
      </c>
      <c r="D358" s="10">
        <f>_xlfn.XLOOKUP(C358,'Place Profiles'!A:A,'Place Profiles'!B:B,"0")</f>
        <v>43.3184768539152</v>
      </c>
      <c r="E358" s="10">
        <f>_xlfn.XLOOKUP(C358,'Place Profiles'!A:A,'Place Profiles'!C:C,"0")</f>
        <v>11.3310792700061</v>
      </c>
      <c r="F358" t="str">
        <v>Gonzaga, Carlo</v>
      </c>
      <c r="G358" t="str">
        <v>von Habsburg, Maria Magdalena</v>
      </c>
      <c r="H358" t="str" cm="1">
        <f t="array" ref="H358">_xlfn.LET(
_xlpm.t,$G358,
_xlpm.cands,_xlfn._xlws.FILTER('Place Profiles'!$G$2:$G$929,'Place Profiles'!$G$2:$G$929&lt;&gt;""),
_xlpm.counts,COUNTIFS('Raw Data'!$G$2:$G$501,_xlpm.t,'Raw Data'!$F$2:$F$501,_xlpm.cands),
_xlpm.mx,MAX(_xlpm.counts),
IF(_xlpm.mx=0,0,_xlfn.TEXTJOIN(" / ",TRUE,_xlfn._xlws.FILTER(_xlpm.cands,_xlpm.counts=_xlpm.mx)))
)</f>
        <v>Firenze/Fiorenza</v>
      </c>
      <c r="I358">
        <f>_xlfn.XLOOKUP(H358,'Place Profiles'!A:A,'Place Profiles'!B:B,"0")</f>
        <v>43.773821664204803</v>
      </c>
      <c r="J358">
        <f>_xlfn.XLOOKUP(H358,'Place Profiles'!A:A,'Place Profiles'!C:C,"0")</f>
        <v>11.2555362617661</v>
      </c>
    </row>
    <row r="359" spans="1:10" x14ac:dyDescent="0.45">
      <c r="A359" t="str">
        <v>ID_00358</v>
      </c>
      <c r="B359" t="str">
        <v>1612/04/20</v>
      </c>
      <c r="C359" t="str">
        <v>Siena</v>
      </c>
      <c r="D359" s="10">
        <f>_xlfn.XLOOKUP(C359,'Place Profiles'!A:A,'Place Profiles'!B:B,"0")</f>
        <v>43.3184768539152</v>
      </c>
      <c r="E359" s="10">
        <f>_xlfn.XLOOKUP(C359,'Place Profiles'!A:A,'Place Profiles'!C:C,"0")</f>
        <v>11.3310792700061</v>
      </c>
      <c r="F359" t="str">
        <v>Gonzaga, Carlo</v>
      </c>
      <c r="G359" t="str">
        <v>de' Medici, Cosimo II</v>
      </c>
      <c r="H359" cm="1">
        <f t="array" ref="H359">_xlfn.LET(
_xlpm.t,$G359,
_xlpm.cands,_xlfn._xlws.FILTER('Place Profiles'!$G$2:$G$929,'Place Profiles'!$G$2:$G$929&lt;&gt;""),
_xlpm.counts,COUNTIFS('Raw Data'!$G$2:$G$501,_xlpm.t,'Raw Data'!$F$2:$F$501,_xlpm.cands),
_xlpm.mx,MAX(_xlpm.counts),
IF(_xlpm.mx=0,0,_xlfn.TEXTJOIN(" / ",TRUE,_xlfn._xlws.FILTER(_xlpm.cands,_xlpm.counts=_xlpm.mx)))
)</f>
        <v>0</v>
      </c>
      <c r="I359" t="str">
        <f>_xlfn.XLOOKUP(H359,'Place Profiles'!A:A,'Place Profiles'!B:B,"0")</f>
        <v>0</v>
      </c>
      <c r="J359" t="str">
        <f>_xlfn.XLOOKUP(H359,'Place Profiles'!A:A,'Place Profiles'!C:C,"0")</f>
        <v>0</v>
      </c>
    </row>
    <row r="360" spans="1:10" x14ac:dyDescent="0.45">
      <c r="A360" t="str">
        <v>ID_00359</v>
      </c>
      <c r="B360" t="str">
        <v>1612/05/01</v>
      </c>
      <c r="C360" t="str">
        <v>Siena</v>
      </c>
      <c r="D360" s="10">
        <f>_xlfn.XLOOKUP(C360,'Place Profiles'!A:A,'Place Profiles'!B:B,"0")</f>
        <v>43.3184768539152</v>
      </c>
      <c r="E360" s="10">
        <f>_xlfn.XLOOKUP(C360,'Place Profiles'!A:A,'Place Profiles'!C:C,"0")</f>
        <v>11.3310792700061</v>
      </c>
      <c r="F360" t="str">
        <v>Finetti, Lattantio</v>
      </c>
      <c r="G360" t="str">
        <v>von Habsburg, Maria Magdalena</v>
      </c>
      <c r="H360" t="str" cm="1">
        <f t="array" ref="H360">_xlfn.LET(
_xlpm.t,$G360,
_xlpm.cands,_xlfn._xlws.FILTER('Place Profiles'!$G$2:$G$929,'Place Profiles'!$G$2:$G$929&lt;&gt;""),
_xlpm.counts,COUNTIFS('Raw Data'!$G$2:$G$501,_xlpm.t,'Raw Data'!$F$2:$F$501,_xlpm.cands),
_xlpm.mx,MAX(_xlpm.counts),
IF(_xlpm.mx=0,0,_xlfn.TEXTJOIN(" / ",TRUE,_xlfn._xlws.FILTER(_xlpm.cands,_xlpm.counts=_xlpm.mx)))
)</f>
        <v>Firenze/Fiorenza</v>
      </c>
      <c r="I360">
        <f>_xlfn.XLOOKUP(H360,'Place Profiles'!A:A,'Place Profiles'!B:B,"0")</f>
        <v>43.773821664204803</v>
      </c>
      <c r="J360">
        <f>_xlfn.XLOOKUP(H360,'Place Profiles'!A:A,'Place Profiles'!C:C,"0")</f>
        <v>11.2555362617661</v>
      </c>
    </row>
    <row r="361" spans="1:10" x14ac:dyDescent="0.45">
      <c r="A361" t="str">
        <v>ID_00360</v>
      </c>
      <c r="B361" t="str">
        <v>1622/09/09</v>
      </c>
      <c r="C361" t="str">
        <v>Siena</v>
      </c>
      <c r="D361" s="10">
        <f>_xlfn.XLOOKUP(C361,'Place Profiles'!A:A,'Place Profiles'!B:B,"0")</f>
        <v>43.3184768539152</v>
      </c>
      <c r="E361" s="10">
        <f>_xlfn.XLOOKUP(C361,'Place Profiles'!A:A,'Place Profiles'!C:C,"0")</f>
        <v>11.3310792700061</v>
      </c>
      <c r="F361" t="str">
        <v>Malvezzi, Fran[cesc]o Perro</v>
      </c>
      <c r="G361" t="str">
        <v>von Habsburg, Maria Magdalena</v>
      </c>
      <c r="H361" t="str" cm="1">
        <f t="array" ref="H361">_xlfn.LET(
_xlpm.t,$G361,
_xlpm.cands,_xlfn._xlws.FILTER('Place Profiles'!$G$2:$G$929,'Place Profiles'!$G$2:$G$929&lt;&gt;""),
_xlpm.counts,COUNTIFS('Raw Data'!$G$2:$G$501,_xlpm.t,'Raw Data'!$F$2:$F$501,_xlpm.cands),
_xlpm.mx,MAX(_xlpm.counts),
IF(_xlpm.mx=0,0,_xlfn.TEXTJOIN(" / ",TRUE,_xlfn._xlws.FILTER(_xlpm.cands,_xlpm.counts=_xlpm.mx)))
)</f>
        <v>Firenze/Fiorenza</v>
      </c>
      <c r="I361">
        <f>_xlfn.XLOOKUP(H361,'Place Profiles'!A:A,'Place Profiles'!B:B,"0")</f>
        <v>43.773821664204803</v>
      </c>
      <c r="J361">
        <f>_xlfn.XLOOKUP(H361,'Place Profiles'!A:A,'Place Profiles'!C:C,"0")</f>
        <v>11.2555362617661</v>
      </c>
    </row>
    <row r="362" spans="1:10" x14ac:dyDescent="0.45">
      <c r="A362" t="str">
        <v>ID_00361</v>
      </c>
      <c r="B362" t="str">
        <v>1612/05/01</v>
      </c>
      <c r="C362" t="str">
        <v>Siena</v>
      </c>
      <c r="D362" s="10">
        <f>_xlfn.XLOOKUP(C362,'Place Profiles'!A:A,'Place Profiles'!B:B,"0")</f>
        <v>43.3184768539152</v>
      </c>
      <c r="E362" s="10">
        <f>_xlfn.XLOOKUP(C362,'Place Profiles'!A:A,'Place Profiles'!C:C,"0")</f>
        <v>11.3310792700061</v>
      </c>
      <c r="F362" t="str">
        <v>Finetti, Lattantio</v>
      </c>
      <c r="G362" t="str">
        <v>de' Medici, Cosimo II</v>
      </c>
      <c r="H362" cm="1">
        <f t="array" ref="H362">_xlfn.LET(
_xlpm.t,$G362,
_xlpm.cands,_xlfn._xlws.FILTER('Place Profiles'!$G$2:$G$929,'Place Profiles'!$G$2:$G$929&lt;&gt;""),
_xlpm.counts,COUNTIFS('Raw Data'!$G$2:$G$501,_xlpm.t,'Raw Data'!$F$2:$F$501,_xlpm.cands),
_xlpm.mx,MAX(_xlpm.counts),
IF(_xlpm.mx=0,0,_xlfn.TEXTJOIN(" / ",TRUE,_xlfn._xlws.FILTER(_xlpm.cands,_xlpm.counts=_xlpm.mx)))
)</f>
        <v>0</v>
      </c>
      <c r="I362" t="str">
        <f>_xlfn.XLOOKUP(H362,'Place Profiles'!A:A,'Place Profiles'!B:B,"0")</f>
        <v>0</v>
      </c>
      <c r="J362" t="str">
        <f>_xlfn.XLOOKUP(H362,'Place Profiles'!A:A,'Place Profiles'!C:C,"0")</f>
        <v>0</v>
      </c>
    </row>
    <row r="363" spans="1:10" x14ac:dyDescent="0.45">
      <c r="A363" t="str">
        <v>ID_00362</v>
      </c>
      <c r="B363" t="str">
        <v>1612/05/17</v>
      </c>
      <c r="C363" t="str">
        <v>Siena</v>
      </c>
      <c r="D363" s="10">
        <f>_xlfn.XLOOKUP(C363,'Place Profiles'!A:A,'Place Profiles'!B:B,"0")</f>
        <v>43.3184768539152</v>
      </c>
      <c r="E363" s="10">
        <f>_xlfn.XLOOKUP(C363,'Place Profiles'!A:A,'Place Profiles'!C:C,"0")</f>
        <v>11.3310792700061</v>
      </c>
      <c r="F363" t="str">
        <v>Gonzaga, Carlo</v>
      </c>
      <c r="G363" t="str">
        <v>de' Medici, Cosimo II</v>
      </c>
      <c r="H363" cm="1">
        <f t="array" ref="H363">_xlfn.LET(
_xlpm.t,$G363,
_xlpm.cands,_xlfn._xlws.FILTER('Place Profiles'!$G$2:$G$929,'Place Profiles'!$G$2:$G$929&lt;&gt;""),
_xlpm.counts,COUNTIFS('Raw Data'!$G$2:$G$501,_xlpm.t,'Raw Data'!$F$2:$F$501,_xlpm.cands),
_xlpm.mx,MAX(_xlpm.counts),
IF(_xlpm.mx=0,0,_xlfn.TEXTJOIN(" / ",TRUE,_xlfn._xlws.FILTER(_xlpm.cands,_xlpm.counts=_xlpm.mx)))
)</f>
        <v>0</v>
      </c>
      <c r="I363" t="str">
        <f>_xlfn.XLOOKUP(H363,'Place Profiles'!A:A,'Place Profiles'!B:B,"0")</f>
        <v>0</v>
      </c>
      <c r="J363" t="str">
        <f>_xlfn.XLOOKUP(H363,'Place Profiles'!A:A,'Place Profiles'!C:C,"0")</f>
        <v>0</v>
      </c>
    </row>
    <row r="364" spans="1:10" x14ac:dyDescent="0.45">
      <c r="A364" t="str">
        <v>ID_00363</v>
      </c>
      <c r="B364" t="str">
        <v>1612/06/20</v>
      </c>
      <c r="C364" t="str">
        <v>Siena</v>
      </c>
      <c r="D364" s="10">
        <f>_xlfn.XLOOKUP(C364,'Place Profiles'!A:A,'Place Profiles'!B:B,"0")</f>
        <v>43.3184768539152</v>
      </c>
      <c r="E364" s="10">
        <f>_xlfn.XLOOKUP(C364,'Place Profiles'!A:A,'Place Profiles'!C:C,"0")</f>
        <v>11.3310792700061</v>
      </c>
      <c r="F364" t="str">
        <v>Finetti, Lattantio</v>
      </c>
      <c r="G364" t="str">
        <v>von Habsburg, Maria Magdalena</v>
      </c>
      <c r="H364" t="str" cm="1">
        <f t="array" ref="H364">_xlfn.LET(
_xlpm.t,$G364,
_xlpm.cands,_xlfn._xlws.FILTER('Place Profiles'!$G$2:$G$929,'Place Profiles'!$G$2:$G$929&lt;&gt;""),
_xlpm.counts,COUNTIFS('Raw Data'!$G$2:$G$501,_xlpm.t,'Raw Data'!$F$2:$F$501,_xlpm.cands),
_xlpm.mx,MAX(_xlpm.counts),
IF(_xlpm.mx=0,0,_xlfn.TEXTJOIN(" / ",TRUE,_xlfn._xlws.FILTER(_xlpm.cands,_xlpm.counts=_xlpm.mx)))
)</f>
        <v>Firenze/Fiorenza</v>
      </c>
      <c r="I364">
        <f>_xlfn.XLOOKUP(H364,'Place Profiles'!A:A,'Place Profiles'!B:B,"0")</f>
        <v>43.773821664204803</v>
      </c>
      <c r="J364">
        <f>_xlfn.XLOOKUP(H364,'Place Profiles'!A:A,'Place Profiles'!C:C,"0")</f>
        <v>11.2555362617661</v>
      </c>
    </row>
    <row r="365" spans="1:10" x14ac:dyDescent="0.45">
      <c r="A365" t="str">
        <v>ID_00364</v>
      </c>
      <c r="B365" t="str">
        <v>1612/07/15</v>
      </c>
      <c r="C365" t="str">
        <v>Siena</v>
      </c>
      <c r="D365" s="10">
        <f>_xlfn.XLOOKUP(C365,'Place Profiles'!A:A,'Place Profiles'!B:B,"0")</f>
        <v>43.3184768539152</v>
      </c>
      <c r="E365" s="10">
        <f>_xlfn.XLOOKUP(C365,'Place Profiles'!A:A,'Place Profiles'!C:C,"0")</f>
        <v>11.3310792700061</v>
      </c>
      <c r="F365" t="str">
        <v>Savini, Alessandro</v>
      </c>
      <c r="G365" t="str">
        <v>von Habsburg, Maria Magdalena</v>
      </c>
      <c r="H365" t="str" cm="1">
        <f t="array" ref="H365">_xlfn.LET(
_xlpm.t,$G365,
_xlpm.cands,_xlfn._xlws.FILTER('Place Profiles'!$G$2:$G$929,'Place Profiles'!$G$2:$G$929&lt;&gt;""),
_xlpm.counts,COUNTIFS('Raw Data'!$G$2:$G$501,_xlpm.t,'Raw Data'!$F$2:$F$501,_xlpm.cands),
_xlpm.mx,MAX(_xlpm.counts),
IF(_xlpm.mx=0,0,_xlfn.TEXTJOIN(" / ",TRUE,_xlfn._xlws.FILTER(_xlpm.cands,_xlpm.counts=_xlpm.mx)))
)</f>
        <v>Firenze/Fiorenza</v>
      </c>
      <c r="I365">
        <f>_xlfn.XLOOKUP(H365,'Place Profiles'!A:A,'Place Profiles'!B:B,"0")</f>
        <v>43.773821664204803</v>
      </c>
      <c r="J365">
        <f>_xlfn.XLOOKUP(H365,'Place Profiles'!A:A,'Place Profiles'!C:C,"0")</f>
        <v>11.2555362617661</v>
      </c>
    </row>
    <row r="366" spans="1:10" x14ac:dyDescent="0.45">
      <c r="A366" t="str">
        <v>ID_00365</v>
      </c>
      <c r="B366" t="str">
        <v>1612/12/09</v>
      </c>
      <c r="C366" t="str">
        <v>Siena</v>
      </c>
      <c r="D366" s="10">
        <f>_xlfn.XLOOKUP(C366,'Place Profiles'!A:A,'Place Profiles'!B:B,"0")</f>
        <v>43.3184768539152</v>
      </c>
      <c r="E366" s="10">
        <f>_xlfn.XLOOKUP(C366,'Place Profiles'!A:A,'Place Profiles'!C:C,"0")</f>
        <v>11.3310792700061</v>
      </c>
      <c r="F366" t="str">
        <v>Borghesi, Curtio</v>
      </c>
      <c r="G366" t="str">
        <v>von Habsburg, Maria Magdalena</v>
      </c>
      <c r="H366" t="str" cm="1">
        <f t="array" ref="H366">_xlfn.LET(
_xlpm.t,$G366,
_xlpm.cands,_xlfn._xlws.FILTER('Place Profiles'!$G$2:$G$929,'Place Profiles'!$G$2:$G$929&lt;&gt;""),
_xlpm.counts,COUNTIFS('Raw Data'!$G$2:$G$501,_xlpm.t,'Raw Data'!$F$2:$F$501,_xlpm.cands),
_xlpm.mx,MAX(_xlpm.counts),
IF(_xlpm.mx=0,0,_xlfn.TEXTJOIN(" / ",TRUE,_xlfn._xlws.FILTER(_xlpm.cands,_xlpm.counts=_xlpm.mx)))
)</f>
        <v>Firenze/Fiorenza</v>
      </c>
      <c r="I366">
        <f>_xlfn.XLOOKUP(H366,'Place Profiles'!A:A,'Place Profiles'!B:B,"0")</f>
        <v>43.773821664204803</v>
      </c>
      <c r="J366">
        <f>_xlfn.XLOOKUP(H366,'Place Profiles'!A:A,'Place Profiles'!C:C,"0")</f>
        <v>11.2555362617661</v>
      </c>
    </row>
    <row r="367" spans="1:10" x14ac:dyDescent="0.45">
      <c r="A367" t="str">
        <v>ID_00366</v>
      </c>
      <c r="B367" t="str">
        <v>1613/01/16</v>
      </c>
      <c r="C367" t="str">
        <v>Siena</v>
      </c>
      <c r="D367" s="10">
        <f>_xlfn.XLOOKUP(C367,'Place Profiles'!A:A,'Place Profiles'!B:B,"0")</f>
        <v>43.3184768539152</v>
      </c>
      <c r="E367" s="10">
        <f>_xlfn.XLOOKUP(C367,'Place Profiles'!A:A,'Place Profiles'!C:C,"0")</f>
        <v>11.3310792700061</v>
      </c>
      <c r="F367" t="str">
        <v>Albizi, Bernardo</v>
      </c>
      <c r="G367" t="str">
        <v>von Habsburg, Maria Magdalena</v>
      </c>
      <c r="H367" t="str" cm="1">
        <f t="array" ref="H367">_xlfn.LET(
_xlpm.t,$G367,
_xlpm.cands,_xlfn._xlws.FILTER('Place Profiles'!$G$2:$G$929,'Place Profiles'!$G$2:$G$929&lt;&gt;""),
_xlpm.counts,COUNTIFS('Raw Data'!$G$2:$G$501,_xlpm.t,'Raw Data'!$F$2:$F$501,_xlpm.cands),
_xlpm.mx,MAX(_xlpm.counts),
IF(_xlpm.mx=0,0,_xlfn.TEXTJOIN(" / ",TRUE,_xlfn._xlws.FILTER(_xlpm.cands,_xlpm.counts=_xlpm.mx)))
)</f>
        <v>Firenze/Fiorenza</v>
      </c>
      <c r="I367">
        <f>_xlfn.XLOOKUP(H367,'Place Profiles'!A:A,'Place Profiles'!B:B,"0")</f>
        <v>43.773821664204803</v>
      </c>
      <c r="J367">
        <f>_xlfn.XLOOKUP(H367,'Place Profiles'!A:A,'Place Profiles'!C:C,"0")</f>
        <v>11.2555362617661</v>
      </c>
    </row>
    <row r="368" spans="1:10" x14ac:dyDescent="0.45">
      <c r="A368" t="str">
        <v>ID_00367</v>
      </c>
      <c r="B368" t="str">
        <v>1613/06/21</v>
      </c>
      <c r="C368" t="str">
        <v>Siena</v>
      </c>
      <c r="D368" s="10">
        <f>_xlfn.XLOOKUP(C368,'Place Profiles'!A:A,'Place Profiles'!B:B,"0")</f>
        <v>43.3184768539152</v>
      </c>
      <c r="E368" s="10">
        <f>_xlfn.XLOOKUP(C368,'Place Profiles'!A:A,'Place Profiles'!C:C,"0")</f>
        <v>11.3310792700061</v>
      </c>
      <c r="F368" t="str">
        <v>Finetti, Lattantio</v>
      </c>
      <c r="G368" t="str">
        <v>von Habsburg, Maria Magdalena</v>
      </c>
      <c r="H368" t="str" cm="1">
        <f t="array" ref="H368">_xlfn.LET(
_xlpm.t,$G368,
_xlpm.cands,_xlfn._xlws.FILTER('Place Profiles'!$G$2:$G$929,'Place Profiles'!$G$2:$G$929&lt;&gt;""),
_xlpm.counts,COUNTIFS('Raw Data'!$G$2:$G$501,_xlpm.t,'Raw Data'!$F$2:$F$501,_xlpm.cands),
_xlpm.mx,MAX(_xlpm.counts),
IF(_xlpm.mx=0,0,_xlfn.TEXTJOIN(" / ",TRUE,_xlfn._xlws.FILTER(_xlpm.cands,_xlpm.counts=_xlpm.mx)))
)</f>
        <v>Firenze/Fiorenza</v>
      </c>
      <c r="I368">
        <f>_xlfn.XLOOKUP(H368,'Place Profiles'!A:A,'Place Profiles'!B:B,"0")</f>
        <v>43.773821664204803</v>
      </c>
      <c r="J368">
        <f>_xlfn.XLOOKUP(H368,'Place Profiles'!A:A,'Place Profiles'!C:C,"0")</f>
        <v>11.2555362617661</v>
      </c>
    </row>
    <row r="369" spans="1:10" x14ac:dyDescent="0.45">
      <c r="A369" t="str">
        <v>ID_00368</v>
      </c>
      <c r="B369" t="str">
        <v>1627/07/23</v>
      </c>
      <c r="C369" t="str">
        <v>Siena</v>
      </c>
      <c r="D369" s="10">
        <f>_xlfn.XLOOKUP(C369,'Place Profiles'!A:A,'Place Profiles'!B:B,"0")</f>
        <v>43.3184768539152</v>
      </c>
      <c r="E369" s="10">
        <f>_xlfn.XLOOKUP(C369,'Place Profiles'!A:A,'Place Profiles'!C:C,"0")</f>
        <v>11.3310792700061</v>
      </c>
      <c r="F369" t="str">
        <v>de' Medici, Caterina</v>
      </c>
      <c r="G369" t="str">
        <v>de' Medici, Ferdinando II</v>
      </c>
      <c r="H369" cm="1">
        <f t="array" ref="H369">_xlfn.LET(
_xlpm.t,$G369,
_xlpm.cands,_xlfn._xlws.FILTER('Place Profiles'!$G$2:$G$929,'Place Profiles'!$G$2:$G$929&lt;&gt;""),
_xlpm.counts,COUNTIFS('Raw Data'!$G$2:$G$501,_xlpm.t,'Raw Data'!$F$2:$F$501,_xlpm.cands),
_xlpm.mx,MAX(_xlpm.counts),
IF(_xlpm.mx=0,0,_xlfn.TEXTJOIN(" / ",TRUE,_xlfn._xlws.FILTER(_xlpm.cands,_xlpm.counts=_xlpm.mx)))
)</f>
        <v>0</v>
      </c>
      <c r="I369" t="str">
        <f>_xlfn.XLOOKUP(H369,'Place Profiles'!A:A,'Place Profiles'!B:B,"0")</f>
        <v>0</v>
      </c>
      <c r="J369" t="str">
        <f>_xlfn.XLOOKUP(H369,'Place Profiles'!A:A,'Place Profiles'!C:C,"0")</f>
        <v>0</v>
      </c>
    </row>
    <row r="370" spans="1:10" x14ac:dyDescent="0.45">
      <c r="A370" t="str">
        <v>ID_00369</v>
      </c>
      <c r="B370" t="str">
        <v>1613/06/22</v>
      </c>
      <c r="C370" t="str">
        <v>Siena</v>
      </c>
      <c r="D370" s="10">
        <f>_xlfn.XLOOKUP(C370,'Place Profiles'!A:A,'Place Profiles'!B:B,"0")</f>
        <v>43.3184768539152</v>
      </c>
      <c r="E370" s="10">
        <f>_xlfn.XLOOKUP(C370,'Place Profiles'!A:A,'Place Profiles'!C:C,"0")</f>
        <v>11.3310792700061</v>
      </c>
      <c r="F370" t="str">
        <v>Malvezzi, Peritio</v>
      </c>
      <c r="G370" t="str">
        <v>von Habsburg, Maria Magdalena</v>
      </c>
      <c r="H370" t="str" cm="1">
        <f t="array" ref="H370">_xlfn.LET(
_xlpm.t,$G370,
_xlpm.cands,_xlfn._xlws.FILTER('Place Profiles'!$G$2:$G$929,'Place Profiles'!$G$2:$G$929&lt;&gt;""),
_xlpm.counts,COUNTIFS('Raw Data'!$G$2:$G$501,_xlpm.t,'Raw Data'!$F$2:$F$501,_xlpm.cands),
_xlpm.mx,MAX(_xlpm.counts),
IF(_xlpm.mx=0,0,_xlfn.TEXTJOIN(" / ",TRUE,_xlfn._xlws.FILTER(_xlpm.cands,_xlpm.counts=_xlpm.mx)))
)</f>
        <v>Firenze/Fiorenza</v>
      </c>
      <c r="I370">
        <f>_xlfn.XLOOKUP(H370,'Place Profiles'!A:A,'Place Profiles'!B:B,"0")</f>
        <v>43.773821664204803</v>
      </c>
      <c r="J370">
        <f>_xlfn.XLOOKUP(H370,'Place Profiles'!A:A,'Place Profiles'!C:C,"0")</f>
        <v>11.2555362617661</v>
      </c>
    </row>
    <row r="371" spans="1:10" x14ac:dyDescent="0.45">
      <c r="A371" t="str">
        <v>ID_00370</v>
      </c>
      <c r="B371" t="str">
        <v>1613/07/08</v>
      </c>
      <c r="C371" t="str">
        <v>Siena</v>
      </c>
      <c r="D371" s="10">
        <f>_xlfn.XLOOKUP(C371,'Place Profiles'!A:A,'Place Profiles'!B:B,"0")</f>
        <v>43.3184768539152</v>
      </c>
      <c r="E371" s="10">
        <f>_xlfn.XLOOKUP(C371,'Place Profiles'!A:A,'Place Profiles'!C:C,"0")</f>
        <v>11.3310792700061</v>
      </c>
      <c r="F371" t="str">
        <v>Albizi, Bernardo</v>
      </c>
      <c r="G371" t="str">
        <v>von Habsburg, Maria Magdalena</v>
      </c>
      <c r="H371" t="str" cm="1">
        <f t="array" ref="H371">_xlfn.LET(
_xlpm.t,$G371,
_xlpm.cands,_xlfn._xlws.FILTER('Place Profiles'!$G$2:$G$929,'Place Profiles'!$G$2:$G$929&lt;&gt;""),
_xlpm.counts,COUNTIFS('Raw Data'!$G$2:$G$501,_xlpm.t,'Raw Data'!$F$2:$F$501,_xlpm.cands),
_xlpm.mx,MAX(_xlpm.counts),
IF(_xlpm.mx=0,0,_xlfn.TEXTJOIN(" / ",TRUE,_xlfn._xlws.FILTER(_xlpm.cands,_xlpm.counts=_xlpm.mx)))
)</f>
        <v>Firenze/Fiorenza</v>
      </c>
      <c r="I371">
        <f>_xlfn.XLOOKUP(H371,'Place Profiles'!A:A,'Place Profiles'!B:B,"0")</f>
        <v>43.773821664204803</v>
      </c>
      <c r="J371">
        <f>_xlfn.XLOOKUP(H371,'Place Profiles'!A:A,'Place Profiles'!C:C,"0")</f>
        <v>11.2555362617661</v>
      </c>
    </row>
    <row r="372" spans="1:10" x14ac:dyDescent="0.45">
      <c r="A372" t="str">
        <v>ID_00371</v>
      </c>
      <c r="B372" t="str">
        <v>1613/08/11</v>
      </c>
      <c r="C372" t="str">
        <v>Siena</v>
      </c>
      <c r="D372" s="10">
        <f>_xlfn.XLOOKUP(C372,'Place Profiles'!A:A,'Place Profiles'!B:B,"0")</f>
        <v>43.3184768539152</v>
      </c>
      <c r="E372" s="10">
        <f>_xlfn.XLOOKUP(C372,'Place Profiles'!A:A,'Place Profiles'!C:C,"0")</f>
        <v>11.3310792700061</v>
      </c>
      <c r="F372" t="str">
        <v>Olio, Matteo</v>
      </c>
      <c r="G372" t="str">
        <v>von Habsburg, Maria Magdalena</v>
      </c>
      <c r="H372" t="str" cm="1">
        <f t="array" ref="H372">_xlfn.LET(
_xlpm.t,$G372,
_xlpm.cands,_xlfn._xlws.FILTER('Place Profiles'!$G$2:$G$929,'Place Profiles'!$G$2:$G$929&lt;&gt;""),
_xlpm.counts,COUNTIFS('Raw Data'!$G$2:$G$501,_xlpm.t,'Raw Data'!$F$2:$F$501,_xlpm.cands),
_xlpm.mx,MAX(_xlpm.counts),
IF(_xlpm.mx=0,0,_xlfn.TEXTJOIN(" / ",TRUE,_xlfn._xlws.FILTER(_xlpm.cands,_xlpm.counts=_xlpm.mx)))
)</f>
        <v>Firenze/Fiorenza</v>
      </c>
      <c r="I372">
        <f>_xlfn.XLOOKUP(H372,'Place Profiles'!A:A,'Place Profiles'!B:B,"0")</f>
        <v>43.773821664204803</v>
      </c>
      <c r="J372">
        <f>_xlfn.XLOOKUP(H372,'Place Profiles'!A:A,'Place Profiles'!C:C,"0")</f>
        <v>11.2555362617661</v>
      </c>
    </row>
    <row r="373" spans="1:10" x14ac:dyDescent="0.45">
      <c r="A373" t="str">
        <v>ID_00372</v>
      </c>
      <c r="B373" t="str">
        <v>1622/10/22</v>
      </c>
      <c r="C373" t="str">
        <v>Siena</v>
      </c>
      <c r="D373" s="10">
        <f>_xlfn.XLOOKUP(C373,'Place Profiles'!A:A,'Place Profiles'!B:B,"0")</f>
        <v>43.3184768539152</v>
      </c>
      <c r="E373" s="10">
        <f>_xlfn.XLOOKUP(C373,'Place Profiles'!A:A,'Place Profiles'!C:C,"0")</f>
        <v>11.3310792700061</v>
      </c>
      <c r="F373" t="str">
        <v>?, Bartolomeo</v>
      </c>
      <c r="G373" t="str">
        <v>von Habsburg, Maria Magdalena</v>
      </c>
      <c r="H373" t="str" cm="1">
        <f t="array" ref="H373">_xlfn.LET(
_xlpm.t,$G373,
_xlpm.cands,_xlfn._xlws.FILTER('Place Profiles'!$G$2:$G$929,'Place Profiles'!$G$2:$G$929&lt;&gt;""),
_xlpm.counts,COUNTIFS('Raw Data'!$G$2:$G$501,_xlpm.t,'Raw Data'!$F$2:$F$501,_xlpm.cands),
_xlpm.mx,MAX(_xlpm.counts),
IF(_xlpm.mx=0,0,_xlfn.TEXTJOIN(" / ",TRUE,_xlfn._xlws.FILTER(_xlpm.cands,_xlpm.counts=_xlpm.mx)))
)</f>
        <v>Firenze/Fiorenza</v>
      </c>
      <c r="I373">
        <f>_xlfn.XLOOKUP(H373,'Place Profiles'!A:A,'Place Profiles'!B:B,"0")</f>
        <v>43.773821664204803</v>
      </c>
      <c r="J373">
        <f>_xlfn.XLOOKUP(H373,'Place Profiles'!A:A,'Place Profiles'!C:C,"0")</f>
        <v>11.2555362617661</v>
      </c>
    </row>
    <row r="374" spans="1:10" x14ac:dyDescent="0.45">
      <c r="A374" t="str">
        <v>ID_00373</v>
      </c>
      <c r="B374" t="str">
        <v>1613/08/18</v>
      </c>
      <c r="C374" t="str">
        <v>Siena</v>
      </c>
      <c r="D374" s="10">
        <f>_xlfn.XLOOKUP(C374,'Place Profiles'!A:A,'Place Profiles'!B:B,"0")</f>
        <v>43.3184768539152</v>
      </c>
      <c r="E374" s="10">
        <f>_xlfn.XLOOKUP(C374,'Place Profiles'!A:A,'Place Profiles'!C:C,"0")</f>
        <v>11.3310792700061</v>
      </c>
      <c r="F374" t="str">
        <v xml:space="preserve">Gug.mi, Gio. Batta </v>
      </c>
      <c r="G374" t="str">
        <v>von Habsburg, Maria Magdalena</v>
      </c>
      <c r="H374" t="str" cm="1">
        <f t="array" ref="H374">_xlfn.LET(
_xlpm.t,$G374,
_xlpm.cands,_xlfn._xlws.FILTER('Place Profiles'!$G$2:$G$929,'Place Profiles'!$G$2:$G$929&lt;&gt;""),
_xlpm.counts,COUNTIFS('Raw Data'!$G$2:$G$501,_xlpm.t,'Raw Data'!$F$2:$F$501,_xlpm.cands),
_xlpm.mx,MAX(_xlpm.counts),
IF(_xlpm.mx=0,0,_xlfn.TEXTJOIN(" / ",TRUE,_xlfn._xlws.FILTER(_xlpm.cands,_xlpm.counts=_xlpm.mx)))
)</f>
        <v>Firenze/Fiorenza</v>
      </c>
      <c r="I374">
        <f>_xlfn.XLOOKUP(H374,'Place Profiles'!A:A,'Place Profiles'!B:B,"0")</f>
        <v>43.773821664204803</v>
      </c>
      <c r="J374">
        <f>_xlfn.XLOOKUP(H374,'Place Profiles'!A:A,'Place Profiles'!C:C,"0")</f>
        <v>11.2555362617661</v>
      </c>
    </row>
    <row r="375" spans="1:10" x14ac:dyDescent="0.45">
      <c r="A375" t="str">
        <v>ID_00374</v>
      </c>
      <c r="B375" t="str">
        <v>0000/05/01</v>
      </c>
      <c r="C375" t="str">
        <v>Siena</v>
      </c>
      <c r="D375" s="10">
        <f>_xlfn.XLOOKUP(C375,'Place Profiles'!A:A,'Place Profiles'!B:B,"0")</f>
        <v>43.3184768539152</v>
      </c>
      <c r="E375" s="10">
        <f>_xlfn.XLOOKUP(C375,'Place Profiles'!A:A,'Place Profiles'!C:C,"0")</f>
        <v>11.3310792700061</v>
      </c>
      <c r="F375" t="str">
        <v>Ceni, Giuseppe</v>
      </c>
      <c r="G375" t="str">
        <v>von Habsburg, Maria Magdalena</v>
      </c>
      <c r="H375" t="str" cm="1">
        <f t="array" ref="H375">_xlfn.LET(
_xlpm.t,$G375,
_xlpm.cands,_xlfn._xlws.FILTER('Place Profiles'!$G$2:$G$929,'Place Profiles'!$G$2:$G$929&lt;&gt;""),
_xlpm.counts,COUNTIFS('Raw Data'!$G$2:$G$501,_xlpm.t,'Raw Data'!$F$2:$F$501,_xlpm.cands),
_xlpm.mx,MAX(_xlpm.counts),
IF(_xlpm.mx=0,0,_xlfn.TEXTJOIN(" / ",TRUE,_xlfn._xlws.FILTER(_xlpm.cands,_xlpm.counts=_xlpm.mx)))
)</f>
        <v>Firenze/Fiorenza</v>
      </c>
      <c r="I375">
        <f>_xlfn.XLOOKUP(H375,'Place Profiles'!A:A,'Place Profiles'!B:B,"0")</f>
        <v>43.773821664204803</v>
      </c>
      <c r="J375">
        <f>_xlfn.XLOOKUP(H375,'Place Profiles'!A:A,'Place Profiles'!C:C,"0")</f>
        <v>11.2555362617661</v>
      </c>
    </row>
    <row r="376" spans="1:10" x14ac:dyDescent="0.45">
      <c r="A376" t="str">
        <v>ID_00375</v>
      </c>
      <c r="B376" t="str">
        <v>1615/01/18</v>
      </c>
      <c r="C376" t="str">
        <v>Siena</v>
      </c>
      <c r="D376" s="10">
        <f>_xlfn.XLOOKUP(C376,'Place Profiles'!A:A,'Place Profiles'!B:B,"0")</f>
        <v>43.3184768539152</v>
      </c>
      <c r="E376" s="10">
        <f>_xlfn.XLOOKUP(C376,'Place Profiles'!A:A,'Place Profiles'!C:C,"0")</f>
        <v>11.3310792700061</v>
      </c>
      <c r="F376" t="str">
        <v>Unnamed</v>
      </c>
      <c r="G376" t="str">
        <v>de' Medici, Cosimo II</v>
      </c>
      <c r="H376" cm="1">
        <f t="array" ref="H376">_xlfn.LET(
_xlpm.t,$G376,
_xlpm.cands,_xlfn._xlws.FILTER('Place Profiles'!$G$2:$G$929,'Place Profiles'!$G$2:$G$929&lt;&gt;""),
_xlpm.counts,COUNTIFS('Raw Data'!$G$2:$G$501,_xlpm.t,'Raw Data'!$F$2:$F$501,_xlpm.cands),
_xlpm.mx,MAX(_xlpm.counts),
IF(_xlpm.mx=0,0,_xlfn.TEXTJOIN(" / ",TRUE,_xlfn._xlws.FILTER(_xlpm.cands,_xlpm.counts=_xlpm.mx)))
)</f>
        <v>0</v>
      </c>
      <c r="I376" t="str">
        <f>_xlfn.XLOOKUP(H376,'Place Profiles'!A:A,'Place Profiles'!B:B,"0")</f>
        <v>0</v>
      </c>
      <c r="J376" t="str">
        <f>_xlfn.XLOOKUP(H376,'Place Profiles'!A:A,'Place Profiles'!C:C,"0")</f>
        <v>0</v>
      </c>
    </row>
    <row r="377" spans="1:10" x14ac:dyDescent="0.45">
      <c r="A377" t="str">
        <v>ID_00376</v>
      </c>
      <c r="B377" t="str">
        <v>1625/06/25</v>
      </c>
      <c r="C377" t="str">
        <v>Siena</v>
      </c>
      <c r="D377" s="10">
        <f>_xlfn.XLOOKUP(C377,'Place Profiles'!A:A,'Place Profiles'!B:B,"0")</f>
        <v>43.3184768539152</v>
      </c>
      <c r="E377" s="10">
        <f>_xlfn.XLOOKUP(C377,'Place Profiles'!A:A,'Place Profiles'!C:C,"0")</f>
        <v>11.3310792700061</v>
      </c>
      <c r="F377" t="str">
        <v>Finetti, Lattantio</v>
      </c>
      <c r="G377" t="str">
        <v>de' Medici, Ferdinando II</v>
      </c>
      <c r="H377" cm="1">
        <f t="array" ref="H377">_xlfn.LET(
_xlpm.t,$G377,
_xlpm.cands,_xlfn._xlws.FILTER('Place Profiles'!$G$2:$G$929,'Place Profiles'!$G$2:$G$929&lt;&gt;""),
_xlpm.counts,COUNTIFS('Raw Data'!$G$2:$G$501,_xlpm.t,'Raw Data'!$F$2:$F$501,_xlpm.cands),
_xlpm.mx,MAX(_xlpm.counts),
IF(_xlpm.mx=0,0,_xlfn.TEXTJOIN(" / ",TRUE,_xlfn._xlws.FILTER(_xlpm.cands,_xlpm.counts=_xlpm.mx)))
)</f>
        <v>0</v>
      </c>
      <c r="I377" t="str">
        <f>_xlfn.XLOOKUP(H377,'Place Profiles'!A:A,'Place Profiles'!B:B,"0")</f>
        <v>0</v>
      </c>
      <c r="J377" t="str">
        <f>_xlfn.XLOOKUP(H377,'Place Profiles'!A:A,'Place Profiles'!C:C,"0")</f>
        <v>0</v>
      </c>
    </row>
    <row r="378" spans="1:10" x14ac:dyDescent="0.45">
      <c r="A378" t="str">
        <v>ID_00377</v>
      </c>
      <c r="B378" t="str">
        <v>1621/06/20</v>
      </c>
      <c r="C378" t="str">
        <v>Siena</v>
      </c>
      <c r="D378" s="10">
        <f>_xlfn.XLOOKUP(C378,'Place Profiles'!A:A,'Place Profiles'!B:B,"0")</f>
        <v>43.3184768539152</v>
      </c>
      <c r="E378" s="10">
        <f>_xlfn.XLOOKUP(C378,'Place Profiles'!A:A,'Place Profiles'!C:C,"0")</f>
        <v>11.3310792700061</v>
      </c>
      <c r="F378" t="str">
        <v>Finetti, Lattantio</v>
      </c>
      <c r="G378" t="str">
        <v>von Habsburg, Maria Magdalena</v>
      </c>
      <c r="H378" t="str" cm="1">
        <f t="array" ref="H378">_xlfn.LET(
_xlpm.t,$G378,
_xlpm.cands,_xlfn._xlws.FILTER('Place Profiles'!$G$2:$G$929,'Place Profiles'!$G$2:$G$929&lt;&gt;""),
_xlpm.counts,COUNTIFS('Raw Data'!$G$2:$G$501,_xlpm.t,'Raw Data'!$F$2:$F$501,_xlpm.cands),
_xlpm.mx,MAX(_xlpm.counts),
IF(_xlpm.mx=0,0,_xlfn.TEXTJOIN(" / ",TRUE,_xlfn._xlws.FILTER(_xlpm.cands,_xlpm.counts=_xlpm.mx)))
)</f>
        <v>Firenze/Fiorenza</v>
      </c>
      <c r="I378">
        <f>_xlfn.XLOOKUP(H378,'Place Profiles'!A:A,'Place Profiles'!B:B,"0")</f>
        <v>43.773821664204803</v>
      </c>
      <c r="J378">
        <f>_xlfn.XLOOKUP(H378,'Place Profiles'!A:A,'Place Profiles'!C:C,"0")</f>
        <v>11.2555362617661</v>
      </c>
    </row>
    <row r="379" spans="1:10" x14ac:dyDescent="0.45">
      <c r="A379" t="str">
        <v>ID_00378</v>
      </c>
      <c r="B379" t="str">
        <v>1621/07/00</v>
      </c>
      <c r="C379" t="str">
        <v>Siena</v>
      </c>
      <c r="D379" s="10">
        <f>_xlfn.XLOOKUP(C379,'Place Profiles'!A:A,'Place Profiles'!B:B,"0")</f>
        <v>43.3184768539152</v>
      </c>
      <c r="E379" s="10">
        <f>_xlfn.XLOOKUP(C379,'Place Profiles'!A:A,'Place Profiles'!C:C,"0")</f>
        <v>11.3310792700061</v>
      </c>
      <c r="F379" t="str">
        <v>Finetti, Lattantio</v>
      </c>
      <c r="G379" t="str">
        <v>von Habsburg, Maria Magdalena</v>
      </c>
      <c r="H379" t="str" cm="1">
        <f t="array" ref="H379">_xlfn.LET(
_xlpm.t,$G379,
_xlpm.cands,_xlfn._xlws.FILTER('Place Profiles'!$G$2:$G$929,'Place Profiles'!$G$2:$G$929&lt;&gt;""),
_xlpm.counts,COUNTIFS('Raw Data'!$G$2:$G$501,_xlpm.t,'Raw Data'!$F$2:$F$501,_xlpm.cands),
_xlpm.mx,MAX(_xlpm.counts),
IF(_xlpm.mx=0,0,_xlfn.TEXTJOIN(" / ",TRUE,_xlfn._xlws.FILTER(_xlpm.cands,_xlpm.counts=_xlpm.mx)))
)</f>
        <v>Firenze/Fiorenza</v>
      </c>
      <c r="I379">
        <f>_xlfn.XLOOKUP(H379,'Place Profiles'!A:A,'Place Profiles'!B:B,"0")</f>
        <v>43.773821664204803</v>
      </c>
      <c r="J379">
        <f>_xlfn.XLOOKUP(H379,'Place Profiles'!A:A,'Place Profiles'!C:C,"0")</f>
        <v>11.2555362617661</v>
      </c>
    </row>
    <row r="380" spans="1:10" x14ac:dyDescent="0.45">
      <c r="A380" t="str">
        <v>ID_00379</v>
      </c>
      <c r="B380" t="str">
        <v>1615/09/07</v>
      </c>
      <c r="C380" t="str">
        <v>Siena</v>
      </c>
      <c r="D380" s="10">
        <f>_xlfn.XLOOKUP(C380,'Place Profiles'!A:A,'Place Profiles'!B:B,"0")</f>
        <v>43.3184768539152</v>
      </c>
      <c r="E380" s="10">
        <f>_xlfn.XLOOKUP(C380,'Place Profiles'!A:A,'Place Profiles'!C:C,"0")</f>
        <v>11.3310792700061</v>
      </c>
      <c r="F380" t="str">
        <v>Savini, Alessandro</v>
      </c>
      <c r="G380" t="str">
        <v>von Habsburg, Maria Magdalena</v>
      </c>
      <c r="H380" t="str" cm="1">
        <f t="array" ref="H380">_xlfn.LET(
_xlpm.t,$G380,
_xlpm.cands,_xlfn._xlws.FILTER('Place Profiles'!$G$2:$G$929,'Place Profiles'!$G$2:$G$929&lt;&gt;""),
_xlpm.counts,COUNTIFS('Raw Data'!$G$2:$G$501,_xlpm.t,'Raw Data'!$F$2:$F$501,_xlpm.cands),
_xlpm.mx,MAX(_xlpm.counts),
IF(_xlpm.mx=0,0,_xlfn.TEXTJOIN(" / ",TRUE,_xlfn._xlws.FILTER(_xlpm.cands,_xlpm.counts=_xlpm.mx)))
)</f>
        <v>Firenze/Fiorenza</v>
      </c>
      <c r="I380">
        <f>_xlfn.XLOOKUP(H380,'Place Profiles'!A:A,'Place Profiles'!B:B,"0")</f>
        <v>43.773821664204803</v>
      </c>
      <c r="J380">
        <f>_xlfn.XLOOKUP(H380,'Place Profiles'!A:A,'Place Profiles'!C:C,"0")</f>
        <v>11.2555362617661</v>
      </c>
    </row>
    <row r="381" spans="1:10" x14ac:dyDescent="0.45">
      <c r="A381" t="str">
        <v>ID_00380</v>
      </c>
      <c r="B381" t="str">
        <v>1627/07/26</v>
      </c>
      <c r="C381" t="str">
        <v>Siena</v>
      </c>
      <c r="D381" s="10">
        <f>_xlfn.XLOOKUP(C381,'Place Profiles'!A:A,'Place Profiles'!B:B,"0")</f>
        <v>43.3184768539152</v>
      </c>
      <c r="E381" s="10">
        <f>_xlfn.XLOOKUP(C381,'Place Profiles'!A:A,'Place Profiles'!C:C,"0")</f>
        <v>11.3310792700061</v>
      </c>
      <c r="F381" t="str">
        <v>de' Medici, Caterina</v>
      </c>
      <c r="G381" t="str">
        <v>de' Medici, Ferdinando II</v>
      </c>
      <c r="H381" cm="1">
        <f t="array" ref="H381">_xlfn.LET(
_xlpm.t,$G381,
_xlpm.cands,_xlfn._xlws.FILTER('Place Profiles'!$G$2:$G$929,'Place Profiles'!$G$2:$G$929&lt;&gt;""),
_xlpm.counts,COUNTIFS('Raw Data'!$G$2:$G$501,_xlpm.t,'Raw Data'!$F$2:$F$501,_xlpm.cands),
_xlpm.mx,MAX(_xlpm.counts),
IF(_xlpm.mx=0,0,_xlfn.TEXTJOIN(" / ",TRUE,_xlfn._xlws.FILTER(_xlpm.cands,_xlpm.counts=_xlpm.mx)))
)</f>
        <v>0</v>
      </c>
      <c r="I381" t="str">
        <f>_xlfn.XLOOKUP(H381,'Place Profiles'!A:A,'Place Profiles'!B:B,"0")</f>
        <v>0</v>
      </c>
      <c r="J381" t="str">
        <f>_xlfn.XLOOKUP(H381,'Place Profiles'!A:A,'Place Profiles'!C:C,"0")</f>
        <v>0</v>
      </c>
    </row>
    <row r="382" spans="1:10" x14ac:dyDescent="0.45">
      <c r="A382" t="str">
        <v>ID_00381</v>
      </c>
      <c r="B382" t="str">
        <v>1615/11/27</v>
      </c>
      <c r="C382" t="str">
        <v>Siena</v>
      </c>
      <c r="D382" s="10">
        <f>_xlfn.XLOOKUP(C382,'Place Profiles'!A:A,'Place Profiles'!B:B,"0")</f>
        <v>43.3184768539152</v>
      </c>
      <c r="E382" s="10">
        <f>_xlfn.XLOOKUP(C382,'Place Profiles'!A:A,'Place Profiles'!C:C,"0")</f>
        <v>11.3310792700061</v>
      </c>
      <c r="F382" t="str">
        <v>Malvezzi, Peritio</v>
      </c>
      <c r="G382" t="str">
        <v>de' Medici, Cosimo II</v>
      </c>
      <c r="H382" cm="1">
        <f t="array" ref="H382">_xlfn.LET(
_xlpm.t,$G382,
_xlpm.cands,_xlfn._xlws.FILTER('Place Profiles'!$G$2:$G$929,'Place Profiles'!$G$2:$G$929&lt;&gt;""),
_xlpm.counts,COUNTIFS('Raw Data'!$G$2:$G$501,_xlpm.t,'Raw Data'!$F$2:$F$501,_xlpm.cands),
_xlpm.mx,MAX(_xlpm.counts),
IF(_xlpm.mx=0,0,_xlfn.TEXTJOIN(" / ",TRUE,_xlfn._xlws.FILTER(_xlpm.cands,_xlpm.counts=_xlpm.mx)))
)</f>
        <v>0</v>
      </c>
      <c r="I382" t="str">
        <f>_xlfn.XLOOKUP(H382,'Place Profiles'!A:A,'Place Profiles'!B:B,"0")</f>
        <v>0</v>
      </c>
      <c r="J382" t="str">
        <f>_xlfn.XLOOKUP(H382,'Place Profiles'!A:A,'Place Profiles'!C:C,"0")</f>
        <v>0</v>
      </c>
    </row>
    <row r="383" spans="1:10" x14ac:dyDescent="0.45">
      <c r="A383" t="str">
        <v>ID_00382</v>
      </c>
      <c r="B383" t="str">
        <v>1615/11/27</v>
      </c>
      <c r="C383" t="str">
        <v>Siena</v>
      </c>
      <c r="D383" s="10">
        <f>_xlfn.XLOOKUP(C383,'Place Profiles'!A:A,'Place Profiles'!B:B,"0")</f>
        <v>43.3184768539152</v>
      </c>
      <c r="E383" s="10">
        <f>_xlfn.XLOOKUP(C383,'Place Profiles'!A:A,'Place Profiles'!C:C,"0")</f>
        <v>11.3310792700061</v>
      </c>
      <c r="F383" t="str">
        <v>Malvezzi, Peritio</v>
      </c>
      <c r="G383" t="str">
        <v>von Habsburg, Maria Magdalena</v>
      </c>
      <c r="H383" t="str" cm="1">
        <f t="array" ref="H383">_xlfn.LET(
_xlpm.t,$G383,
_xlpm.cands,_xlfn._xlws.FILTER('Place Profiles'!$G$2:$G$929,'Place Profiles'!$G$2:$G$929&lt;&gt;""),
_xlpm.counts,COUNTIFS('Raw Data'!$G$2:$G$501,_xlpm.t,'Raw Data'!$F$2:$F$501,_xlpm.cands),
_xlpm.mx,MAX(_xlpm.counts),
IF(_xlpm.mx=0,0,_xlfn.TEXTJOIN(" / ",TRUE,_xlfn._xlws.FILTER(_xlpm.cands,_xlpm.counts=_xlpm.mx)))
)</f>
        <v>Firenze/Fiorenza</v>
      </c>
      <c r="I383">
        <f>_xlfn.XLOOKUP(H383,'Place Profiles'!A:A,'Place Profiles'!B:B,"0")</f>
        <v>43.773821664204803</v>
      </c>
      <c r="J383">
        <f>_xlfn.XLOOKUP(H383,'Place Profiles'!A:A,'Place Profiles'!C:C,"0")</f>
        <v>11.2555362617661</v>
      </c>
    </row>
    <row r="384" spans="1:10" x14ac:dyDescent="0.45">
      <c r="A384" t="str">
        <v>ID_00383</v>
      </c>
      <c r="B384" t="str">
        <v>1621/11/28</v>
      </c>
      <c r="C384" t="str">
        <v>Siena</v>
      </c>
      <c r="D384" s="10">
        <f>_xlfn.XLOOKUP(C384,'Place Profiles'!A:A,'Place Profiles'!B:B,"0")</f>
        <v>43.3184768539152</v>
      </c>
      <c r="E384" s="10">
        <f>_xlfn.XLOOKUP(C384,'Place Profiles'!A:A,'Place Profiles'!C:C,"0")</f>
        <v>11.3310792700061</v>
      </c>
      <c r="F384" t="str">
        <v>Finetti, Lattantio</v>
      </c>
      <c r="G384" t="str">
        <v>de' Medici, Cosimo II</v>
      </c>
      <c r="H384" cm="1">
        <f t="array" ref="H384">_xlfn.LET(
_xlpm.t,$G384,
_xlpm.cands,_xlfn._xlws.FILTER('Place Profiles'!$G$2:$G$929,'Place Profiles'!$G$2:$G$929&lt;&gt;""),
_xlpm.counts,COUNTIFS('Raw Data'!$G$2:$G$501,_xlpm.t,'Raw Data'!$F$2:$F$501,_xlpm.cands),
_xlpm.mx,MAX(_xlpm.counts),
IF(_xlpm.mx=0,0,_xlfn.TEXTJOIN(" / ",TRUE,_xlfn._xlws.FILTER(_xlpm.cands,_xlpm.counts=_xlpm.mx)))
)</f>
        <v>0</v>
      </c>
      <c r="I384" t="str">
        <f>_xlfn.XLOOKUP(H384,'Place Profiles'!A:A,'Place Profiles'!B:B,"0")</f>
        <v>0</v>
      </c>
      <c r="J384" t="str">
        <f>_xlfn.XLOOKUP(H384,'Place Profiles'!A:A,'Place Profiles'!C:C,"0")</f>
        <v>0</v>
      </c>
    </row>
    <row r="385" spans="1:10" x14ac:dyDescent="0.45">
      <c r="A385" t="str">
        <v>ID_00384</v>
      </c>
      <c r="B385" t="str">
        <v>1615/11/28</v>
      </c>
      <c r="C385" t="str">
        <v>Siena</v>
      </c>
      <c r="D385" s="10">
        <f>_xlfn.XLOOKUP(C385,'Place Profiles'!A:A,'Place Profiles'!B:B,"0")</f>
        <v>43.3184768539152</v>
      </c>
      <c r="E385" s="10">
        <f>_xlfn.XLOOKUP(C385,'Place Profiles'!A:A,'Place Profiles'!C:C,"0")</f>
        <v>11.3310792700061</v>
      </c>
      <c r="F385" t="str">
        <v>Finetti, Lattantio</v>
      </c>
      <c r="G385" t="str">
        <v>von Habsburg, Maria Magdalena</v>
      </c>
      <c r="H385" t="str" cm="1">
        <f t="array" ref="H385">_xlfn.LET(
_xlpm.t,$G385,
_xlpm.cands,_xlfn._xlws.FILTER('Place Profiles'!$G$2:$G$929,'Place Profiles'!$G$2:$G$929&lt;&gt;""),
_xlpm.counts,COUNTIFS('Raw Data'!$G$2:$G$501,_xlpm.t,'Raw Data'!$F$2:$F$501,_xlpm.cands),
_xlpm.mx,MAX(_xlpm.counts),
IF(_xlpm.mx=0,0,_xlfn.TEXTJOIN(" / ",TRUE,_xlfn._xlws.FILTER(_xlpm.cands,_xlpm.counts=_xlpm.mx)))
)</f>
        <v>Firenze/Fiorenza</v>
      </c>
      <c r="I385">
        <f>_xlfn.XLOOKUP(H385,'Place Profiles'!A:A,'Place Profiles'!B:B,"0")</f>
        <v>43.773821664204803</v>
      </c>
      <c r="J385">
        <f>_xlfn.XLOOKUP(H385,'Place Profiles'!A:A,'Place Profiles'!C:C,"0")</f>
        <v>11.2555362617661</v>
      </c>
    </row>
    <row r="386" spans="1:10" x14ac:dyDescent="0.45">
      <c r="A386" t="str">
        <v>ID_00385</v>
      </c>
      <c r="B386" t="str">
        <v>1615/12/05</v>
      </c>
      <c r="C386" t="str">
        <v>Siena</v>
      </c>
      <c r="D386" s="10">
        <f>_xlfn.XLOOKUP(C386,'Place Profiles'!A:A,'Place Profiles'!B:B,"0")</f>
        <v>43.3184768539152</v>
      </c>
      <c r="E386" s="10">
        <f>_xlfn.XLOOKUP(C386,'Place Profiles'!A:A,'Place Profiles'!C:C,"0")</f>
        <v>11.3310792700061</v>
      </c>
      <c r="F386" t="str">
        <v>Finetti, Lattantio</v>
      </c>
      <c r="G386" t="str">
        <v>von Habsburg, Maria Magdalena</v>
      </c>
      <c r="H386" t="str" cm="1">
        <f t="array" ref="H386">_xlfn.LET(
_xlpm.t,$G386,
_xlpm.cands,_xlfn._xlws.FILTER('Place Profiles'!$G$2:$G$929,'Place Profiles'!$G$2:$G$929&lt;&gt;""),
_xlpm.counts,COUNTIFS('Raw Data'!$G$2:$G$501,_xlpm.t,'Raw Data'!$F$2:$F$501,_xlpm.cands),
_xlpm.mx,MAX(_xlpm.counts),
IF(_xlpm.mx=0,0,_xlfn.TEXTJOIN(" / ",TRUE,_xlfn._xlws.FILTER(_xlpm.cands,_xlpm.counts=_xlpm.mx)))
)</f>
        <v>Firenze/Fiorenza</v>
      </c>
      <c r="I386">
        <f>_xlfn.XLOOKUP(H386,'Place Profiles'!A:A,'Place Profiles'!B:B,"0")</f>
        <v>43.773821664204803</v>
      </c>
      <c r="J386">
        <f>_xlfn.XLOOKUP(H386,'Place Profiles'!A:A,'Place Profiles'!C:C,"0")</f>
        <v>11.2555362617661</v>
      </c>
    </row>
    <row r="387" spans="1:10" x14ac:dyDescent="0.45">
      <c r="A387" t="str">
        <v>ID_00386</v>
      </c>
      <c r="B387" t="str">
        <v>1622/11/02</v>
      </c>
      <c r="C387" t="str">
        <v>Siena</v>
      </c>
      <c r="D387" s="10">
        <f>_xlfn.XLOOKUP(C387,'Place Profiles'!A:A,'Place Profiles'!B:B,"0")</f>
        <v>43.3184768539152</v>
      </c>
      <c r="E387" s="10">
        <f>_xlfn.XLOOKUP(C387,'Place Profiles'!A:A,'Place Profiles'!C:C,"0")</f>
        <v>11.3310792700061</v>
      </c>
      <c r="F387" t="str">
        <v>?, Pierfran[cesc]o Pieri</v>
      </c>
      <c r="G387" t="str">
        <v>von Habsburg, Maria Magdalena</v>
      </c>
      <c r="H387" t="str" cm="1">
        <f t="array" ref="H387">_xlfn.LET(
_xlpm.t,$G387,
_xlpm.cands,_xlfn._xlws.FILTER('Place Profiles'!$G$2:$G$929,'Place Profiles'!$G$2:$G$929&lt;&gt;""),
_xlpm.counts,COUNTIFS('Raw Data'!$G$2:$G$501,_xlpm.t,'Raw Data'!$F$2:$F$501,_xlpm.cands),
_xlpm.mx,MAX(_xlpm.counts),
IF(_xlpm.mx=0,0,_xlfn.TEXTJOIN(" / ",TRUE,_xlfn._xlws.FILTER(_xlpm.cands,_xlpm.counts=_xlpm.mx)))
)</f>
        <v>Firenze/Fiorenza</v>
      </c>
      <c r="I387">
        <f>_xlfn.XLOOKUP(H387,'Place Profiles'!A:A,'Place Profiles'!B:B,"0")</f>
        <v>43.773821664204803</v>
      </c>
      <c r="J387">
        <f>_xlfn.XLOOKUP(H387,'Place Profiles'!A:A,'Place Profiles'!C:C,"0")</f>
        <v>11.2555362617661</v>
      </c>
    </row>
    <row r="388" spans="1:10" x14ac:dyDescent="0.45">
      <c r="A388" t="str">
        <v>ID_00387</v>
      </c>
      <c r="B388" t="str">
        <v>1627/07/26</v>
      </c>
      <c r="C388" t="str">
        <v>Siena</v>
      </c>
      <c r="D388" s="10">
        <f>_xlfn.XLOOKUP(C388,'Place Profiles'!A:A,'Place Profiles'!B:B,"0")</f>
        <v>43.3184768539152</v>
      </c>
      <c r="E388" s="10">
        <f>_xlfn.XLOOKUP(C388,'Place Profiles'!A:A,'Place Profiles'!C:C,"0")</f>
        <v>11.3310792700061</v>
      </c>
      <c r="F388" t="str">
        <v>de' Medici, Caterina</v>
      </c>
      <c r="G388" t="str">
        <v>von Habsburg, Maria Magdalena</v>
      </c>
      <c r="H388" t="str" cm="1">
        <f t="array" ref="H388">_xlfn.LET(
_xlpm.t,$G388,
_xlpm.cands,_xlfn._xlws.FILTER('Place Profiles'!$G$2:$G$929,'Place Profiles'!$G$2:$G$929&lt;&gt;""),
_xlpm.counts,COUNTIFS('Raw Data'!$G$2:$G$501,_xlpm.t,'Raw Data'!$F$2:$F$501,_xlpm.cands),
_xlpm.mx,MAX(_xlpm.counts),
IF(_xlpm.mx=0,0,_xlfn.TEXTJOIN(" / ",TRUE,_xlfn._xlws.FILTER(_xlpm.cands,_xlpm.counts=_xlpm.mx)))
)</f>
        <v>Firenze/Fiorenza</v>
      </c>
      <c r="I388">
        <f>_xlfn.XLOOKUP(H388,'Place Profiles'!A:A,'Place Profiles'!B:B,"0")</f>
        <v>43.773821664204803</v>
      </c>
      <c r="J388">
        <f>_xlfn.XLOOKUP(H388,'Place Profiles'!A:A,'Place Profiles'!C:C,"0")</f>
        <v>11.2555362617661</v>
      </c>
    </row>
    <row r="389" spans="1:10" x14ac:dyDescent="0.45">
      <c r="A389" t="str">
        <v>ID_00388</v>
      </c>
      <c r="B389" t="str">
        <v>1615/12/00</v>
      </c>
      <c r="C389" t="str">
        <v>Siena</v>
      </c>
      <c r="D389" s="10">
        <f>_xlfn.XLOOKUP(C389,'Place Profiles'!A:A,'Place Profiles'!B:B,"0")</f>
        <v>43.3184768539152</v>
      </c>
      <c r="E389" s="10">
        <f>_xlfn.XLOOKUP(C389,'Place Profiles'!A:A,'Place Profiles'!C:C,"0")</f>
        <v>11.3310792700061</v>
      </c>
      <c r="F389" t="str">
        <v>Finetti, Lattantio</v>
      </c>
      <c r="G389" t="str">
        <v>von Habsburg, Maria Magdalena</v>
      </c>
      <c r="H389" t="str" cm="1">
        <f t="array" ref="H389">_xlfn.LET(
_xlpm.t,$G389,
_xlpm.cands,_xlfn._xlws.FILTER('Place Profiles'!$G$2:$G$929,'Place Profiles'!$G$2:$G$929&lt;&gt;""),
_xlpm.counts,COUNTIFS('Raw Data'!$G$2:$G$501,_xlpm.t,'Raw Data'!$F$2:$F$501,_xlpm.cands),
_xlpm.mx,MAX(_xlpm.counts),
IF(_xlpm.mx=0,0,_xlfn.TEXTJOIN(" / ",TRUE,_xlfn._xlws.FILTER(_xlpm.cands,_xlpm.counts=_xlpm.mx)))
)</f>
        <v>Firenze/Fiorenza</v>
      </c>
      <c r="I389">
        <f>_xlfn.XLOOKUP(H389,'Place Profiles'!A:A,'Place Profiles'!B:B,"0")</f>
        <v>43.773821664204803</v>
      </c>
      <c r="J389">
        <f>_xlfn.XLOOKUP(H389,'Place Profiles'!A:A,'Place Profiles'!C:C,"0")</f>
        <v>11.2555362617661</v>
      </c>
    </row>
    <row r="390" spans="1:10" x14ac:dyDescent="0.45">
      <c r="A390" t="str">
        <v>ID_00389</v>
      </c>
      <c r="B390" t="str">
        <v>1615/12/19</v>
      </c>
      <c r="C390" t="str">
        <v>Perugia</v>
      </c>
      <c r="D390" s="10">
        <f>_xlfn.XLOOKUP(C390,'Place Profiles'!A:A,'Place Profiles'!B:B,"0")</f>
        <v>43.104930797885402</v>
      </c>
      <c r="E390" s="10">
        <f>_xlfn.XLOOKUP(C390,'Place Profiles'!A:A,'Place Profiles'!C:C,"0")</f>
        <v>12.387000247888899</v>
      </c>
      <c r="F390" t="str">
        <v>Piccolomini, Enea</v>
      </c>
      <c r="G390" t="str">
        <v>von Habsburg, Maria Magdalena</v>
      </c>
      <c r="H390" t="str" cm="1">
        <f t="array" ref="H390">_xlfn.LET(
_xlpm.t,$G390,
_xlpm.cands,_xlfn._xlws.FILTER('Place Profiles'!$G$2:$G$929,'Place Profiles'!$G$2:$G$929&lt;&gt;""),
_xlpm.counts,COUNTIFS('Raw Data'!$G$2:$G$501,_xlpm.t,'Raw Data'!$F$2:$F$501,_xlpm.cands),
_xlpm.mx,MAX(_xlpm.counts),
IF(_xlpm.mx=0,0,_xlfn.TEXTJOIN(" / ",TRUE,_xlfn._xlws.FILTER(_xlpm.cands,_xlpm.counts=_xlpm.mx)))
)</f>
        <v>Firenze/Fiorenza</v>
      </c>
      <c r="I390">
        <f>_xlfn.XLOOKUP(H390,'Place Profiles'!A:A,'Place Profiles'!B:B,"0")</f>
        <v>43.773821664204803</v>
      </c>
      <c r="J390">
        <f>_xlfn.XLOOKUP(H390,'Place Profiles'!A:A,'Place Profiles'!C:C,"0")</f>
        <v>11.2555362617661</v>
      </c>
    </row>
    <row r="391" spans="1:10" x14ac:dyDescent="0.45">
      <c r="A391" t="str">
        <v>ID_00390</v>
      </c>
      <c r="B391" t="str">
        <v>1615/12/21</v>
      </c>
      <c r="C391" t="str">
        <v>Siena</v>
      </c>
      <c r="D391" s="10">
        <f>_xlfn.XLOOKUP(C391,'Place Profiles'!A:A,'Place Profiles'!B:B,"0")</f>
        <v>43.3184768539152</v>
      </c>
      <c r="E391" s="10">
        <f>_xlfn.XLOOKUP(C391,'Place Profiles'!A:A,'Place Profiles'!C:C,"0")</f>
        <v>11.3310792700061</v>
      </c>
      <c r="F391" t="str">
        <v>Malvezzi, Peritio</v>
      </c>
      <c r="G391" t="str">
        <v>von Habsburg, Maria Magdalena</v>
      </c>
      <c r="H391" t="str" cm="1">
        <f t="array" ref="H391">_xlfn.LET(
_xlpm.t,$G391,
_xlpm.cands,_xlfn._xlws.FILTER('Place Profiles'!$G$2:$G$929,'Place Profiles'!$G$2:$G$929&lt;&gt;""),
_xlpm.counts,COUNTIFS('Raw Data'!$G$2:$G$501,_xlpm.t,'Raw Data'!$F$2:$F$501,_xlpm.cands),
_xlpm.mx,MAX(_xlpm.counts),
IF(_xlpm.mx=0,0,_xlfn.TEXTJOIN(" / ",TRUE,_xlfn._xlws.FILTER(_xlpm.cands,_xlpm.counts=_xlpm.mx)))
)</f>
        <v>Firenze/Fiorenza</v>
      </c>
      <c r="I391">
        <f>_xlfn.XLOOKUP(H391,'Place Profiles'!A:A,'Place Profiles'!B:B,"0")</f>
        <v>43.773821664204803</v>
      </c>
      <c r="J391">
        <f>_xlfn.XLOOKUP(H391,'Place Profiles'!A:A,'Place Profiles'!C:C,"0")</f>
        <v>11.2555362617661</v>
      </c>
    </row>
    <row r="392" spans="1:10" x14ac:dyDescent="0.45">
      <c r="A392" t="str">
        <v>ID_00391</v>
      </c>
      <c r="B392" t="str">
        <v>1615/00/30</v>
      </c>
      <c r="C392" t="str">
        <v>Siena</v>
      </c>
      <c r="D392" s="10">
        <f>_xlfn.XLOOKUP(C392,'Place Profiles'!A:A,'Place Profiles'!B:B,"0")</f>
        <v>43.3184768539152</v>
      </c>
      <c r="E392" s="10">
        <f>_xlfn.XLOOKUP(C392,'Place Profiles'!A:A,'Place Profiles'!C:C,"0")</f>
        <v>11.3310792700061</v>
      </c>
      <c r="F392" t="str">
        <v>Malvezzi, Peritio</v>
      </c>
      <c r="G392" t="str">
        <v>de' Medici, Cosimo II</v>
      </c>
      <c r="H392" cm="1">
        <f t="array" ref="H392">_xlfn.LET(
_xlpm.t,$G392,
_xlpm.cands,_xlfn._xlws.FILTER('Place Profiles'!$G$2:$G$929,'Place Profiles'!$G$2:$G$929&lt;&gt;""),
_xlpm.counts,COUNTIFS('Raw Data'!$G$2:$G$501,_xlpm.t,'Raw Data'!$F$2:$F$501,_xlpm.cands),
_xlpm.mx,MAX(_xlpm.counts),
IF(_xlpm.mx=0,0,_xlfn.TEXTJOIN(" / ",TRUE,_xlfn._xlws.FILTER(_xlpm.cands,_xlpm.counts=_xlpm.mx)))
)</f>
        <v>0</v>
      </c>
      <c r="I392" t="str">
        <f>_xlfn.XLOOKUP(H392,'Place Profiles'!A:A,'Place Profiles'!B:B,"0")</f>
        <v>0</v>
      </c>
      <c r="J392" t="str">
        <f>_xlfn.XLOOKUP(H392,'Place Profiles'!A:A,'Place Profiles'!C:C,"0")</f>
        <v>0</v>
      </c>
    </row>
    <row r="393" spans="1:10" x14ac:dyDescent="0.45">
      <c r="A393" t="str">
        <v>ID_00392</v>
      </c>
      <c r="B393" t="str">
        <v>1616/00/10</v>
      </c>
      <c r="C393" t="str">
        <v>Siena</v>
      </c>
      <c r="D393" s="10">
        <f>_xlfn.XLOOKUP(C393,'Place Profiles'!A:A,'Place Profiles'!B:B,"0")</f>
        <v>43.3184768539152</v>
      </c>
      <c r="E393" s="10">
        <f>_xlfn.XLOOKUP(C393,'Place Profiles'!A:A,'Place Profiles'!C:C,"0")</f>
        <v>11.3310792700061</v>
      </c>
      <c r="F393" t="str">
        <v>Illegible</v>
      </c>
      <c r="G393" t="str">
        <v>de' Medici, Cosimo II</v>
      </c>
      <c r="H393" cm="1">
        <f t="array" ref="H393">_xlfn.LET(
_xlpm.t,$G393,
_xlpm.cands,_xlfn._xlws.FILTER('Place Profiles'!$G$2:$G$929,'Place Profiles'!$G$2:$G$929&lt;&gt;""),
_xlpm.counts,COUNTIFS('Raw Data'!$G$2:$G$501,_xlpm.t,'Raw Data'!$F$2:$F$501,_xlpm.cands),
_xlpm.mx,MAX(_xlpm.counts),
IF(_xlpm.mx=0,0,_xlfn.TEXTJOIN(" / ",TRUE,_xlfn._xlws.FILTER(_xlpm.cands,_xlpm.counts=_xlpm.mx)))
)</f>
        <v>0</v>
      </c>
      <c r="I393" t="str">
        <f>_xlfn.XLOOKUP(H393,'Place Profiles'!A:A,'Place Profiles'!B:B,"0")</f>
        <v>0</v>
      </c>
      <c r="J393" t="str">
        <f>_xlfn.XLOOKUP(H393,'Place Profiles'!A:A,'Place Profiles'!C:C,"0")</f>
        <v>0</v>
      </c>
    </row>
    <row r="394" spans="1:10" x14ac:dyDescent="0.45">
      <c r="A394" t="str">
        <v>ID_00393</v>
      </c>
      <c r="B394" t="str">
        <v>1616/00/10</v>
      </c>
      <c r="C394" t="str">
        <v>Siena</v>
      </c>
      <c r="D394" s="10">
        <f>_xlfn.XLOOKUP(C394,'Place Profiles'!A:A,'Place Profiles'!B:B,"0")</f>
        <v>43.3184768539152</v>
      </c>
      <c r="E394" s="10">
        <f>_xlfn.XLOOKUP(C394,'Place Profiles'!A:A,'Place Profiles'!C:C,"0")</f>
        <v>11.3310792700061</v>
      </c>
      <c r="F394" t="str">
        <v>Illegible</v>
      </c>
      <c r="G394" t="str">
        <v>von Habsburg, Maria Magdalena</v>
      </c>
      <c r="H394" t="str" cm="1">
        <f t="array" ref="H394">_xlfn.LET(
_xlpm.t,$G394,
_xlpm.cands,_xlfn._xlws.FILTER('Place Profiles'!$G$2:$G$929,'Place Profiles'!$G$2:$G$929&lt;&gt;""),
_xlpm.counts,COUNTIFS('Raw Data'!$G$2:$G$501,_xlpm.t,'Raw Data'!$F$2:$F$501,_xlpm.cands),
_xlpm.mx,MAX(_xlpm.counts),
IF(_xlpm.mx=0,0,_xlfn.TEXTJOIN(" / ",TRUE,_xlfn._xlws.FILTER(_xlpm.cands,_xlpm.counts=_xlpm.mx)))
)</f>
        <v>Firenze/Fiorenza</v>
      </c>
      <c r="I394">
        <f>_xlfn.XLOOKUP(H394,'Place Profiles'!A:A,'Place Profiles'!B:B,"0")</f>
        <v>43.773821664204803</v>
      </c>
      <c r="J394">
        <f>_xlfn.XLOOKUP(H394,'Place Profiles'!A:A,'Place Profiles'!C:C,"0")</f>
        <v>11.2555362617661</v>
      </c>
    </row>
    <row r="395" spans="1:10" x14ac:dyDescent="0.45">
      <c r="A395" t="str">
        <v>ID_00394</v>
      </c>
      <c r="B395" t="str">
        <v>1616/00/10</v>
      </c>
      <c r="C395" t="str">
        <v>Siena</v>
      </c>
      <c r="D395" s="10">
        <f>_xlfn.XLOOKUP(C395,'Place Profiles'!A:A,'Place Profiles'!B:B,"0")</f>
        <v>43.3184768539152</v>
      </c>
      <c r="E395" s="10">
        <f>_xlfn.XLOOKUP(C395,'Place Profiles'!A:A,'Place Profiles'!C:C,"0")</f>
        <v>11.3310792700061</v>
      </c>
      <c r="F395" t="str">
        <v>Illegible</v>
      </c>
      <c r="G395" t="str">
        <v>di Lorena, Cristina</v>
      </c>
      <c r="H395" t="str" cm="1">
        <f t="array" ref="H395">_xlfn.LET(
_xlpm.t,$G395,
_xlpm.cands,_xlfn._xlws.FILTER('Place Profiles'!$G$2:$G$929,'Place Profiles'!$G$2:$G$929&lt;&gt;""),
_xlpm.counts,COUNTIFS('Raw Data'!$G$2:$G$501,_xlpm.t,'Raw Data'!$F$2:$F$501,_xlpm.cands),
_xlpm.mx,MAX(_xlpm.counts),
IF(_xlpm.mx=0,0,_xlfn.TEXTJOIN(" / ",TRUE,_xlfn._xlws.FILTER(_xlpm.cands,_xlpm.counts=_xlpm.mx)))
)</f>
        <v>Firenze/Fiorenza</v>
      </c>
      <c r="I395">
        <f>_xlfn.XLOOKUP(H395,'Place Profiles'!A:A,'Place Profiles'!B:B,"0")</f>
        <v>43.773821664204803</v>
      </c>
      <c r="J395">
        <f>_xlfn.XLOOKUP(H395,'Place Profiles'!A:A,'Place Profiles'!C:C,"0")</f>
        <v>11.2555362617661</v>
      </c>
    </row>
    <row r="396" spans="1:10" x14ac:dyDescent="0.45">
      <c r="A396" t="str">
        <v>ID_00395</v>
      </c>
      <c r="B396" t="str">
        <v>1616/02/16</v>
      </c>
      <c r="C396" t="str">
        <v>Siena</v>
      </c>
      <c r="D396" s="10">
        <f>_xlfn.XLOOKUP(C396,'Place Profiles'!A:A,'Place Profiles'!B:B,"0")</f>
        <v>43.3184768539152</v>
      </c>
      <c r="E396" s="10">
        <f>_xlfn.XLOOKUP(C396,'Place Profiles'!A:A,'Place Profiles'!C:C,"0")</f>
        <v>11.3310792700061</v>
      </c>
      <c r="F396" t="str">
        <v>Illegible</v>
      </c>
      <c r="G396" t="str">
        <v>de' Medici, Cosimo II</v>
      </c>
      <c r="H396" cm="1">
        <f t="array" ref="H396">_xlfn.LET(
_xlpm.t,$G396,
_xlpm.cands,_xlfn._xlws.FILTER('Place Profiles'!$G$2:$G$929,'Place Profiles'!$G$2:$G$929&lt;&gt;""),
_xlpm.counts,COUNTIFS('Raw Data'!$G$2:$G$501,_xlpm.t,'Raw Data'!$F$2:$F$501,_xlpm.cands),
_xlpm.mx,MAX(_xlpm.counts),
IF(_xlpm.mx=0,0,_xlfn.TEXTJOIN(" / ",TRUE,_xlfn._xlws.FILTER(_xlpm.cands,_xlpm.counts=_xlpm.mx)))
)</f>
        <v>0</v>
      </c>
      <c r="I396" t="str">
        <f>_xlfn.XLOOKUP(H396,'Place Profiles'!A:A,'Place Profiles'!B:B,"0")</f>
        <v>0</v>
      </c>
      <c r="J396" t="str">
        <f>_xlfn.XLOOKUP(H396,'Place Profiles'!A:A,'Place Profiles'!C:C,"0")</f>
        <v>0</v>
      </c>
    </row>
    <row r="397" spans="1:10" x14ac:dyDescent="0.45">
      <c r="A397" t="str">
        <v>ID_00396</v>
      </c>
      <c r="B397" t="str">
        <v>1622/12/05</v>
      </c>
      <c r="C397" t="str">
        <v>Siena</v>
      </c>
      <c r="D397" s="10">
        <f>_xlfn.XLOOKUP(C397,'Place Profiles'!A:A,'Place Profiles'!B:B,"0")</f>
        <v>43.3184768539152</v>
      </c>
      <c r="E397" s="10">
        <f>_xlfn.XLOOKUP(C397,'Place Profiles'!A:A,'Place Profiles'!C:C,"0")</f>
        <v>11.3310792700061</v>
      </c>
      <c r="F397" t="str">
        <v>Cini, Gi___</v>
      </c>
      <c r="G397" t="str">
        <v>von Habsburg, Maria Magdalena</v>
      </c>
      <c r="H397" t="str" cm="1">
        <f t="array" ref="H397">_xlfn.LET(
_xlpm.t,$G397,
_xlpm.cands,_xlfn._xlws.FILTER('Place Profiles'!$G$2:$G$929,'Place Profiles'!$G$2:$G$929&lt;&gt;""),
_xlpm.counts,COUNTIFS('Raw Data'!$G$2:$G$501,_xlpm.t,'Raw Data'!$F$2:$F$501,_xlpm.cands),
_xlpm.mx,MAX(_xlpm.counts),
IF(_xlpm.mx=0,0,_xlfn.TEXTJOIN(" / ",TRUE,_xlfn._xlws.FILTER(_xlpm.cands,_xlpm.counts=_xlpm.mx)))
)</f>
        <v>Firenze/Fiorenza</v>
      </c>
      <c r="I397">
        <f>_xlfn.XLOOKUP(H397,'Place Profiles'!A:A,'Place Profiles'!B:B,"0")</f>
        <v>43.773821664204803</v>
      </c>
      <c r="J397">
        <f>_xlfn.XLOOKUP(H397,'Place Profiles'!A:A,'Place Profiles'!C:C,"0")</f>
        <v>11.2555362617661</v>
      </c>
    </row>
    <row r="398" spans="1:10" x14ac:dyDescent="0.45">
      <c r="A398" t="str">
        <v>ID_00397</v>
      </c>
      <c r="B398" t="str">
        <v>1627/07/29</v>
      </c>
      <c r="C398" t="str">
        <v>Siena</v>
      </c>
      <c r="D398" s="10">
        <f>_xlfn.XLOOKUP(C398,'Place Profiles'!A:A,'Place Profiles'!B:B,"0")</f>
        <v>43.3184768539152</v>
      </c>
      <c r="E398" s="10">
        <f>_xlfn.XLOOKUP(C398,'Place Profiles'!A:A,'Place Profiles'!C:C,"0")</f>
        <v>11.3310792700061</v>
      </c>
      <c r="F398" t="str">
        <v>de' Medici, Caterina</v>
      </c>
      <c r="G398" t="str">
        <v>von Habsburg, Maria Magdalena</v>
      </c>
      <c r="H398" t="str" cm="1">
        <f t="array" ref="H398">_xlfn.LET(
_xlpm.t,$G398,
_xlpm.cands,_xlfn._xlws.FILTER('Place Profiles'!$G$2:$G$929,'Place Profiles'!$G$2:$G$929&lt;&gt;""),
_xlpm.counts,COUNTIFS('Raw Data'!$G$2:$G$501,_xlpm.t,'Raw Data'!$F$2:$F$501,_xlpm.cands),
_xlpm.mx,MAX(_xlpm.counts),
IF(_xlpm.mx=0,0,_xlfn.TEXTJOIN(" / ",TRUE,_xlfn._xlws.FILTER(_xlpm.cands,_xlpm.counts=_xlpm.mx)))
)</f>
        <v>Firenze/Fiorenza</v>
      </c>
      <c r="I398">
        <f>_xlfn.XLOOKUP(H398,'Place Profiles'!A:A,'Place Profiles'!B:B,"0")</f>
        <v>43.773821664204803</v>
      </c>
      <c r="J398">
        <f>_xlfn.XLOOKUP(H398,'Place Profiles'!A:A,'Place Profiles'!C:C,"0")</f>
        <v>11.2555362617661</v>
      </c>
    </row>
    <row r="399" spans="1:10" x14ac:dyDescent="0.45">
      <c r="A399" t="str">
        <v>ID_00398</v>
      </c>
      <c r="B399" t="str">
        <v>1616/02/20</v>
      </c>
      <c r="C399" t="str">
        <v>Siena</v>
      </c>
      <c r="D399" s="10">
        <f>_xlfn.XLOOKUP(C399,'Place Profiles'!A:A,'Place Profiles'!B:B,"0")</f>
        <v>43.3184768539152</v>
      </c>
      <c r="E399" s="10">
        <f>_xlfn.XLOOKUP(C399,'Place Profiles'!A:A,'Place Profiles'!C:C,"0")</f>
        <v>11.3310792700061</v>
      </c>
      <c r="F399" t="str">
        <v>Illegible</v>
      </c>
      <c r="G399" t="str">
        <v>de' Medici, Cosimo II</v>
      </c>
      <c r="H399" cm="1">
        <f t="array" ref="H399">_xlfn.LET(
_xlpm.t,$G399,
_xlpm.cands,_xlfn._xlws.FILTER('Place Profiles'!$G$2:$G$929,'Place Profiles'!$G$2:$G$929&lt;&gt;""),
_xlpm.counts,COUNTIFS('Raw Data'!$G$2:$G$501,_xlpm.t,'Raw Data'!$F$2:$F$501,_xlpm.cands),
_xlpm.mx,MAX(_xlpm.counts),
IF(_xlpm.mx=0,0,_xlfn.TEXTJOIN(" / ",TRUE,_xlfn._xlws.FILTER(_xlpm.cands,_xlpm.counts=_xlpm.mx)))
)</f>
        <v>0</v>
      </c>
      <c r="I399" t="str">
        <f>_xlfn.XLOOKUP(H399,'Place Profiles'!A:A,'Place Profiles'!B:B,"0")</f>
        <v>0</v>
      </c>
      <c r="J399" t="str">
        <f>_xlfn.XLOOKUP(H399,'Place Profiles'!A:A,'Place Profiles'!C:C,"0")</f>
        <v>0</v>
      </c>
    </row>
    <row r="400" spans="1:10" x14ac:dyDescent="0.45">
      <c r="A400" t="str">
        <v>ID_00399</v>
      </c>
      <c r="B400" t="str">
        <v>1616/06/21</v>
      </c>
      <c r="C400" t="str">
        <v>Siena</v>
      </c>
      <c r="D400" s="10">
        <f>_xlfn.XLOOKUP(C400,'Place Profiles'!A:A,'Place Profiles'!B:B,"0")</f>
        <v>43.3184768539152</v>
      </c>
      <c r="E400" s="10">
        <f>_xlfn.XLOOKUP(C400,'Place Profiles'!A:A,'Place Profiles'!C:C,"0")</f>
        <v>11.3310792700061</v>
      </c>
      <c r="F400" t="str">
        <v>Illegible</v>
      </c>
      <c r="G400" t="str">
        <v>von Habsburg, Maria Magdalena</v>
      </c>
      <c r="H400" t="str" cm="1">
        <f t="array" ref="H400">_xlfn.LET(
_xlpm.t,$G400,
_xlpm.cands,_xlfn._xlws.FILTER('Place Profiles'!$G$2:$G$929,'Place Profiles'!$G$2:$G$929&lt;&gt;""),
_xlpm.counts,COUNTIFS('Raw Data'!$G$2:$G$501,_xlpm.t,'Raw Data'!$F$2:$F$501,_xlpm.cands),
_xlpm.mx,MAX(_xlpm.counts),
IF(_xlpm.mx=0,0,_xlfn.TEXTJOIN(" / ",TRUE,_xlfn._xlws.FILTER(_xlpm.cands,_xlpm.counts=_xlpm.mx)))
)</f>
        <v>Firenze/Fiorenza</v>
      </c>
      <c r="I400">
        <f>_xlfn.XLOOKUP(H400,'Place Profiles'!A:A,'Place Profiles'!B:B,"0")</f>
        <v>43.773821664204803</v>
      </c>
      <c r="J400">
        <f>_xlfn.XLOOKUP(H400,'Place Profiles'!A:A,'Place Profiles'!C:C,"0")</f>
        <v>11.2555362617661</v>
      </c>
    </row>
    <row r="401" spans="1:10" x14ac:dyDescent="0.45">
      <c r="A401" t="str">
        <v>ID_00400</v>
      </c>
      <c r="B401" t="str">
        <v>1616/07/18</v>
      </c>
      <c r="C401" t="str">
        <v>Siena</v>
      </c>
      <c r="D401" s="10">
        <f>_xlfn.XLOOKUP(C401,'Place Profiles'!A:A,'Place Profiles'!B:B,"0")</f>
        <v>43.3184768539152</v>
      </c>
      <c r="E401" s="10">
        <f>_xlfn.XLOOKUP(C401,'Place Profiles'!A:A,'Place Profiles'!C:C,"0")</f>
        <v>11.3310792700061</v>
      </c>
      <c r="F401" t="str">
        <v>Unnamed</v>
      </c>
      <c r="G401" t="str">
        <v>de' Medici, Cosimo II</v>
      </c>
      <c r="H401" cm="1">
        <f t="array" ref="H401">_xlfn.LET(
_xlpm.t,$G401,
_xlpm.cands,_xlfn._xlws.FILTER('Place Profiles'!$G$2:$G$929,'Place Profiles'!$G$2:$G$929&lt;&gt;""),
_xlpm.counts,COUNTIFS('Raw Data'!$G$2:$G$501,_xlpm.t,'Raw Data'!$F$2:$F$501,_xlpm.cands),
_xlpm.mx,MAX(_xlpm.counts),
IF(_xlpm.mx=0,0,_xlfn.TEXTJOIN(" / ",TRUE,_xlfn._xlws.FILTER(_xlpm.cands,_xlpm.counts=_xlpm.mx)))
)</f>
        <v>0</v>
      </c>
      <c r="I401" t="str">
        <f>_xlfn.XLOOKUP(H401,'Place Profiles'!A:A,'Place Profiles'!B:B,"0")</f>
        <v>0</v>
      </c>
      <c r="J401" t="str">
        <f>_xlfn.XLOOKUP(H401,'Place Profiles'!A:A,'Place Profiles'!C:C,"0")</f>
        <v>0</v>
      </c>
    </row>
    <row r="402" spans="1:10" x14ac:dyDescent="0.45">
      <c r="A402" t="str">
        <v>ID_00401</v>
      </c>
      <c r="B402" t="str">
        <v>1616/09/27</v>
      </c>
      <c r="C402" t="str">
        <v>Gross[ett]o</v>
      </c>
      <c r="D402" s="10">
        <f>_xlfn.XLOOKUP(C402,'Place Profiles'!A:A,'Place Profiles'!B:B,"0")</f>
        <v>42.763567464085199</v>
      </c>
      <c r="E402" s="10">
        <f>_xlfn.XLOOKUP(C402,'Place Profiles'!A:A,'Place Profiles'!C:C,"0")</f>
        <v>11.110316226026001</v>
      </c>
      <c r="F402" t="str">
        <v>Lazzari, Jacomo</v>
      </c>
      <c r="G402" t="str">
        <v>von Habsburg, Maria Magdalena</v>
      </c>
      <c r="H402" t="str" cm="1">
        <f t="array" ref="H402">_xlfn.LET(
_xlpm.t,$G402,
_xlpm.cands,_xlfn._xlws.FILTER('Place Profiles'!$G$2:$G$929,'Place Profiles'!$G$2:$G$929&lt;&gt;""),
_xlpm.counts,COUNTIFS('Raw Data'!$G$2:$G$501,_xlpm.t,'Raw Data'!$F$2:$F$501,_xlpm.cands),
_xlpm.mx,MAX(_xlpm.counts),
IF(_xlpm.mx=0,0,_xlfn.TEXTJOIN(" / ",TRUE,_xlfn._xlws.FILTER(_xlpm.cands,_xlpm.counts=_xlpm.mx)))
)</f>
        <v>Firenze/Fiorenza</v>
      </c>
      <c r="I402">
        <f>_xlfn.XLOOKUP(H402,'Place Profiles'!A:A,'Place Profiles'!B:B,"0")</f>
        <v>43.773821664204803</v>
      </c>
      <c r="J402">
        <f>_xlfn.XLOOKUP(H402,'Place Profiles'!A:A,'Place Profiles'!C:C,"0")</f>
        <v>11.2555362617661</v>
      </c>
    </row>
    <row r="403" spans="1:10" x14ac:dyDescent="0.45">
      <c r="A403" t="str">
        <v>ID_00402</v>
      </c>
      <c r="B403" t="str">
        <v>1616/11/25</v>
      </c>
      <c r="C403" t="str">
        <v>Siena</v>
      </c>
      <c r="D403" s="10">
        <f>_xlfn.XLOOKUP(C403,'Place Profiles'!A:A,'Place Profiles'!B:B,"0")</f>
        <v>43.3184768539152</v>
      </c>
      <c r="E403" s="10">
        <f>_xlfn.XLOOKUP(C403,'Place Profiles'!A:A,'Place Profiles'!C:C,"0")</f>
        <v>11.3310792700061</v>
      </c>
      <c r="F403" t="str">
        <v>Griffeli, Bartolomeo</v>
      </c>
      <c r="G403" t="str">
        <v>von Habsburg, Maria Magdalena</v>
      </c>
      <c r="H403" t="str" cm="1">
        <f t="array" ref="H403">_xlfn.LET(
_xlpm.t,$G403,
_xlpm.cands,_xlfn._xlws.FILTER('Place Profiles'!$G$2:$G$929,'Place Profiles'!$G$2:$G$929&lt;&gt;""),
_xlpm.counts,COUNTIFS('Raw Data'!$G$2:$G$501,_xlpm.t,'Raw Data'!$F$2:$F$501,_xlpm.cands),
_xlpm.mx,MAX(_xlpm.counts),
IF(_xlpm.mx=0,0,_xlfn.TEXTJOIN(" / ",TRUE,_xlfn._xlws.FILTER(_xlpm.cands,_xlpm.counts=_xlpm.mx)))
)</f>
        <v>Firenze/Fiorenza</v>
      </c>
      <c r="I403">
        <f>_xlfn.XLOOKUP(H403,'Place Profiles'!A:A,'Place Profiles'!B:B,"0")</f>
        <v>43.773821664204803</v>
      </c>
      <c r="J403">
        <f>_xlfn.XLOOKUP(H403,'Place Profiles'!A:A,'Place Profiles'!C:C,"0")</f>
        <v>11.2555362617661</v>
      </c>
    </row>
    <row r="404" spans="1:10" x14ac:dyDescent="0.45">
      <c r="A404" t="str">
        <v>ID_00403</v>
      </c>
      <c r="B404" t="str">
        <v>1616/11/21</v>
      </c>
      <c r="C404" t="str">
        <v>Siena</v>
      </c>
      <c r="D404" s="10">
        <f>_xlfn.XLOOKUP(C404,'Place Profiles'!A:A,'Place Profiles'!B:B,"0")</f>
        <v>43.3184768539152</v>
      </c>
      <c r="E404" s="10">
        <f>_xlfn.XLOOKUP(C404,'Place Profiles'!A:A,'Place Profiles'!C:C,"0")</f>
        <v>11.3310792700061</v>
      </c>
      <c r="F404" t="str">
        <v>del Golia, Curtio</v>
      </c>
      <c r="G404" t="str">
        <v>von Habsburg, Maria Magdalena</v>
      </c>
      <c r="H404" t="str" cm="1">
        <f t="array" ref="H404">_xlfn.LET(
_xlpm.t,$G404,
_xlpm.cands,_xlfn._xlws.FILTER('Place Profiles'!$G$2:$G$929,'Place Profiles'!$G$2:$G$929&lt;&gt;""),
_xlpm.counts,COUNTIFS('Raw Data'!$G$2:$G$501,_xlpm.t,'Raw Data'!$F$2:$F$501,_xlpm.cands),
_xlpm.mx,MAX(_xlpm.counts),
IF(_xlpm.mx=0,0,_xlfn.TEXTJOIN(" / ",TRUE,_xlfn._xlws.FILTER(_xlpm.cands,_xlpm.counts=_xlpm.mx)))
)</f>
        <v>Firenze/Fiorenza</v>
      </c>
      <c r="I404">
        <f>_xlfn.XLOOKUP(H404,'Place Profiles'!A:A,'Place Profiles'!B:B,"0")</f>
        <v>43.773821664204803</v>
      </c>
      <c r="J404">
        <f>_xlfn.XLOOKUP(H404,'Place Profiles'!A:A,'Place Profiles'!C:C,"0")</f>
        <v>11.2555362617661</v>
      </c>
    </row>
    <row r="405" spans="1:10" x14ac:dyDescent="0.45">
      <c r="A405" t="str">
        <v>ID_00404</v>
      </c>
      <c r="B405" t="str">
        <v>1616/12/04</v>
      </c>
      <c r="C405" t="str">
        <v>Siena</v>
      </c>
      <c r="D405" s="10">
        <f>_xlfn.XLOOKUP(C405,'Place Profiles'!A:A,'Place Profiles'!B:B,"0")</f>
        <v>43.3184768539152</v>
      </c>
      <c r="E405" s="10">
        <f>_xlfn.XLOOKUP(C405,'Place Profiles'!A:A,'Place Profiles'!C:C,"0")</f>
        <v>11.3310792700061</v>
      </c>
      <c r="F405" t="str">
        <v>Albizi, Laura</v>
      </c>
      <c r="G405" t="str">
        <v>von Habsburg, Maria Magdalena</v>
      </c>
      <c r="H405" t="str" cm="1">
        <f t="array" ref="H405">_xlfn.LET(
_xlpm.t,$G405,
_xlpm.cands,_xlfn._xlws.FILTER('Place Profiles'!$G$2:$G$929,'Place Profiles'!$G$2:$G$929&lt;&gt;""),
_xlpm.counts,COUNTIFS('Raw Data'!$G$2:$G$501,_xlpm.t,'Raw Data'!$F$2:$F$501,_xlpm.cands),
_xlpm.mx,MAX(_xlpm.counts),
IF(_xlpm.mx=0,0,_xlfn.TEXTJOIN(" / ",TRUE,_xlfn._xlws.FILTER(_xlpm.cands,_xlpm.counts=_xlpm.mx)))
)</f>
        <v>Firenze/Fiorenza</v>
      </c>
      <c r="I405">
        <f>_xlfn.XLOOKUP(H405,'Place Profiles'!A:A,'Place Profiles'!B:B,"0")</f>
        <v>43.773821664204803</v>
      </c>
      <c r="J405">
        <f>_xlfn.XLOOKUP(H405,'Place Profiles'!A:A,'Place Profiles'!C:C,"0")</f>
        <v>11.2555362617661</v>
      </c>
    </row>
    <row r="406" spans="1:10" x14ac:dyDescent="0.45">
      <c r="A406" t="str">
        <v>ID_00405</v>
      </c>
      <c r="B406" t="str">
        <v>1616/12/20</v>
      </c>
      <c r="C406" t="str">
        <v>Siena</v>
      </c>
      <c r="D406" s="10">
        <f>_xlfn.XLOOKUP(C406,'Place Profiles'!A:A,'Place Profiles'!B:B,"0")</f>
        <v>43.3184768539152</v>
      </c>
      <c r="E406" s="10">
        <f>_xlfn.XLOOKUP(C406,'Place Profiles'!A:A,'Place Profiles'!C:C,"0")</f>
        <v>11.3310792700061</v>
      </c>
      <c r="F406" t="str">
        <v>Malvezzi, Peritio</v>
      </c>
      <c r="G406" t="str">
        <v>von Habsburg, Maria Magdalena</v>
      </c>
      <c r="H406" t="str" cm="1">
        <f t="array" ref="H406">_xlfn.LET(
_xlpm.t,$G406,
_xlpm.cands,_xlfn._xlws.FILTER('Place Profiles'!$G$2:$G$929,'Place Profiles'!$G$2:$G$929&lt;&gt;""),
_xlpm.counts,COUNTIFS('Raw Data'!$G$2:$G$501,_xlpm.t,'Raw Data'!$F$2:$F$501,_xlpm.cands),
_xlpm.mx,MAX(_xlpm.counts),
IF(_xlpm.mx=0,0,_xlfn.TEXTJOIN(" / ",TRUE,_xlfn._xlws.FILTER(_xlpm.cands,_xlpm.counts=_xlpm.mx)))
)</f>
        <v>Firenze/Fiorenza</v>
      </c>
      <c r="I406">
        <f>_xlfn.XLOOKUP(H406,'Place Profiles'!A:A,'Place Profiles'!B:B,"0")</f>
        <v>43.773821664204803</v>
      </c>
      <c r="J406">
        <f>_xlfn.XLOOKUP(H406,'Place Profiles'!A:A,'Place Profiles'!C:C,"0")</f>
        <v>11.2555362617661</v>
      </c>
    </row>
    <row r="407" spans="1:10" x14ac:dyDescent="0.45">
      <c r="A407" t="str">
        <v>ID_00406</v>
      </c>
      <c r="B407" t="str">
        <v>1621/12/20</v>
      </c>
      <c r="C407" t="str">
        <v>Siena</v>
      </c>
      <c r="D407" s="10">
        <f>_xlfn.XLOOKUP(C407,'Place Profiles'!A:A,'Place Profiles'!B:B,"0")</f>
        <v>43.3184768539152</v>
      </c>
      <c r="E407" s="10">
        <f>_xlfn.XLOOKUP(C407,'Place Profiles'!A:A,'Place Profiles'!C:C,"0")</f>
        <v>11.3310792700061</v>
      </c>
      <c r="F407" t="str">
        <v>Colomba</v>
      </c>
      <c r="G407" t="str">
        <v>von Habsburg, Maria Magdalena</v>
      </c>
      <c r="H407" t="str" cm="1">
        <f t="array" ref="H407">_xlfn.LET(
_xlpm.t,$G407,
_xlpm.cands,_xlfn._xlws.FILTER('Place Profiles'!$G$2:$G$929,'Place Profiles'!$G$2:$G$929&lt;&gt;""),
_xlpm.counts,COUNTIFS('Raw Data'!$G$2:$G$501,_xlpm.t,'Raw Data'!$F$2:$F$501,_xlpm.cands),
_xlpm.mx,MAX(_xlpm.counts),
IF(_xlpm.mx=0,0,_xlfn.TEXTJOIN(" / ",TRUE,_xlfn._xlws.FILTER(_xlpm.cands,_xlpm.counts=_xlpm.mx)))
)</f>
        <v>Firenze/Fiorenza</v>
      </c>
      <c r="I407">
        <f>_xlfn.XLOOKUP(H407,'Place Profiles'!A:A,'Place Profiles'!B:B,"0")</f>
        <v>43.773821664204803</v>
      </c>
      <c r="J407">
        <f>_xlfn.XLOOKUP(H407,'Place Profiles'!A:A,'Place Profiles'!C:C,"0")</f>
        <v>11.2555362617661</v>
      </c>
    </row>
    <row r="408" spans="1:10" x14ac:dyDescent="0.45">
      <c r="A408" t="str">
        <v>ID_00407</v>
      </c>
      <c r="B408" t="str">
        <v>1622/12/23</v>
      </c>
      <c r="C408" t="str">
        <v>Siena</v>
      </c>
      <c r="D408" s="10">
        <f>_xlfn.XLOOKUP(C408,'Place Profiles'!A:A,'Place Profiles'!B:B,"0")</f>
        <v>43.3184768539152</v>
      </c>
      <c r="E408" s="10">
        <f>_xlfn.XLOOKUP(C408,'Place Profiles'!A:A,'Place Profiles'!C:C,"0")</f>
        <v>11.3310792700061</v>
      </c>
      <c r="F408" t="str">
        <v>Colomba</v>
      </c>
      <c r="G408" t="str">
        <v>von Habsburg, Maria Magdalena</v>
      </c>
      <c r="H408" t="str" cm="1">
        <f t="array" ref="H408">_xlfn.LET(
_xlpm.t,$G408,
_xlpm.cands,_xlfn._xlws.FILTER('Place Profiles'!$G$2:$G$929,'Place Profiles'!$G$2:$G$929&lt;&gt;""),
_xlpm.counts,COUNTIFS('Raw Data'!$G$2:$G$501,_xlpm.t,'Raw Data'!$F$2:$F$501,_xlpm.cands),
_xlpm.mx,MAX(_xlpm.counts),
IF(_xlpm.mx=0,0,_xlfn.TEXTJOIN(" / ",TRUE,_xlfn._xlws.FILTER(_xlpm.cands,_xlpm.counts=_xlpm.mx)))
)</f>
        <v>Firenze/Fiorenza</v>
      </c>
      <c r="I408">
        <f>_xlfn.XLOOKUP(H408,'Place Profiles'!A:A,'Place Profiles'!B:B,"0")</f>
        <v>43.773821664204803</v>
      </c>
      <c r="J408">
        <f>_xlfn.XLOOKUP(H408,'Place Profiles'!A:A,'Place Profiles'!C:C,"0")</f>
        <v>11.2555362617661</v>
      </c>
    </row>
    <row r="409" spans="1:10" x14ac:dyDescent="0.45">
      <c r="A409" t="str">
        <v>ID_00408</v>
      </c>
      <c r="B409" t="str">
        <v>1627/08/03</v>
      </c>
      <c r="C409" t="str">
        <v>Siena</v>
      </c>
      <c r="D409" s="10">
        <f>_xlfn.XLOOKUP(C409,'Place Profiles'!A:A,'Place Profiles'!B:B,"0")</f>
        <v>43.3184768539152</v>
      </c>
      <c r="E409" s="10">
        <f>_xlfn.XLOOKUP(C409,'Place Profiles'!A:A,'Place Profiles'!C:C,"0")</f>
        <v>11.3310792700061</v>
      </c>
      <c r="F409" t="str">
        <v>de' Medici, Caterina</v>
      </c>
      <c r="G409" t="str">
        <v>di Lorena, Cristina</v>
      </c>
      <c r="H409" t="str" cm="1">
        <f t="array" ref="H409">_xlfn.LET(
_xlpm.t,$G409,
_xlpm.cands,_xlfn._xlws.FILTER('Place Profiles'!$G$2:$G$929,'Place Profiles'!$G$2:$G$929&lt;&gt;""),
_xlpm.counts,COUNTIFS('Raw Data'!$G$2:$G$501,_xlpm.t,'Raw Data'!$F$2:$F$501,_xlpm.cands),
_xlpm.mx,MAX(_xlpm.counts),
IF(_xlpm.mx=0,0,_xlfn.TEXTJOIN(" / ",TRUE,_xlfn._xlws.FILTER(_xlpm.cands,_xlpm.counts=_xlpm.mx)))
)</f>
        <v>Firenze/Fiorenza</v>
      </c>
      <c r="I409">
        <f>_xlfn.XLOOKUP(H409,'Place Profiles'!A:A,'Place Profiles'!B:B,"0")</f>
        <v>43.773821664204803</v>
      </c>
      <c r="J409">
        <f>_xlfn.XLOOKUP(H409,'Place Profiles'!A:A,'Place Profiles'!C:C,"0")</f>
        <v>11.2555362617661</v>
      </c>
    </row>
    <row r="410" spans="1:10" x14ac:dyDescent="0.45">
      <c r="A410" t="str">
        <v>ID_00409</v>
      </c>
      <c r="B410" t="str">
        <v>1616/12/24</v>
      </c>
      <c r="C410" t="str">
        <v>Siena</v>
      </c>
      <c r="D410" s="10">
        <f>_xlfn.XLOOKUP(C410,'Place Profiles'!A:A,'Place Profiles'!B:B,"0")</f>
        <v>43.3184768539152</v>
      </c>
      <c r="E410" s="10">
        <f>_xlfn.XLOOKUP(C410,'Place Profiles'!A:A,'Place Profiles'!C:C,"0")</f>
        <v>11.3310792700061</v>
      </c>
      <c r="F410" t="str">
        <v>Albizi, Laura</v>
      </c>
      <c r="G410" t="str">
        <v>von Habsburg, Maria Magdalena</v>
      </c>
      <c r="H410" t="str" cm="1">
        <f t="array" ref="H410">_xlfn.LET(
_xlpm.t,$G410,
_xlpm.cands,_xlfn._xlws.FILTER('Place Profiles'!$G$2:$G$929,'Place Profiles'!$G$2:$G$929&lt;&gt;""),
_xlpm.counts,COUNTIFS('Raw Data'!$G$2:$G$501,_xlpm.t,'Raw Data'!$F$2:$F$501,_xlpm.cands),
_xlpm.mx,MAX(_xlpm.counts),
IF(_xlpm.mx=0,0,_xlfn.TEXTJOIN(" / ",TRUE,_xlfn._xlws.FILTER(_xlpm.cands,_xlpm.counts=_xlpm.mx)))
)</f>
        <v>Firenze/Fiorenza</v>
      </c>
      <c r="I410">
        <f>_xlfn.XLOOKUP(H410,'Place Profiles'!A:A,'Place Profiles'!B:B,"0")</f>
        <v>43.773821664204803</v>
      </c>
      <c r="J410">
        <f>_xlfn.XLOOKUP(H410,'Place Profiles'!A:A,'Place Profiles'!C:C,"0")</f>
        <v>11.2555362617661</v>
      </c>
    </row>
    <row r="411" spans="1:10" x14ac:dyDescent="0.45">
      <c r="A411" t="str">
        <v>ID_00410</v>
      </c>
      <c r="B411" t="str">
        <v>1617/01/09</v>
      </c>
      <c r="C411" t="str">
        <v>Siena</v>
      </c>
      <c r="D411" s="10">
        <f>_xlfn.XLOOKUP(C411,'Place Profiles'!A:A,'Place Profiles'!B:B,"0")</f>
        <v>43.3184768539152</v>
      </c>
      <c r="E411" s="10">
        <f>_xlfn.XLOOKUP(C411,'Place Profiles'!A:A,'Place Profiles'!C:C,"0")</f>
        <v>11.3310792700061</v>
      </c>
      <c r="F411" t="str">
        <v>Ciogni , Giovanni</v>
      </c>
      <c r="G411" t="str">
        <v>di Lorena, Cristina</v>
      </c>
      <c r="H411" t="str" cm="1">
        <f t="array" ref="H411">_xlfn.LET(
_xlpm.t,$G411,
_xlpm.cands,_xlfn._xlws.FILTER('Place Profiles'!$G$2:$G$929,'Place Profiles'!$G$2:$G$929&lt;&gt;""),
_xlpm.counts,COUNTIFS('Raw Data'!$G$2:$G$501,_xlpm.t,'Raw Data'!$F$2:$F$501,_xlpm.cands),
_xlpm.mx,MAX(_xlpm.counts),
IF(_xlpm.mx=0,0,_xlfn.TEXTJOIN(" / ",TRUE,_xlfn._xlws.FILTER(_xlpm.cands,_xlpm.counts=_xlpm.mx)))
)</f>
        <v>Firenze/Fiorenza</v>
      </c>
      <c r="I411">
        <f>_xlfn.XLOOKUP(H411,'Place Profiles'!A:A,'Place Profiles'!B:B,"0")</f>
        <v>43.773821664204803</v>
      </c>
      <c r="J411">
        <f>_xlfn.XLOOKUP(H411,'Place Profiles'!A:A,'Place Profiles'!C:C,"0")</f>
        <v>11.2555362617661</v>
      </c>
    </row>
    <row r="412" spans="1:10" x14ac:dyDescent="0.45">
      <c r="A412" t="str">
        <v>ID_00411</v>
      </c>
      <c r="B412" t="str">
        <v>1617/01/14</v>
      </c>
      <c r="C412" t="str">
        <v>Siena</v>
      </c>
      <c r="D412" s="10">
        <f>_xlfn.XLOOKUP(C412,'Place Profiles'!A:A,'Place Profiles'!B:B,"0")</f>
        <v>43.3184768539152</v>
      </c>
      <c r="E412" s="10">
        <f>_xlfn.XLOOKUP(C412,'Place Profiles'!A:A,'Place Profiles'!C:C,"0")</f>
        <v>11.3310792700061</v>
      </c>
      <c r="F412" t="str">
        <v>Malvezzi, Peritio</v>
      </c>
      <c r="G412" t="str">
        <v>di Lorena, Cristina</v>
      </c>
      <c r="H412" t="str" cm="1">
        <f t="array" ref="H412">_xlfn.LET(
_xlpm.t,$G412,
_xlpm.cands,_xlfn._xlws.FILTER('Place Profiles'!$G$2:$G$929,'Place Profiles'!$G$2:$G$929&lt;&gt;""),
_xlpm.counts,COUNTIFS('Raw Data'!$G$2:$G$501,_xlpm.t,'Raw Data'!$F$2:$F$501,_xlpm.cands),
_xlpm.mx,MAX(_xlpm.counts),
IF(_xlpm.mx=0,0,_xlfn.TEXTJOIN(" / ",TRUE,_xlfn._xlws.FILTER(_xlpm.cands,_xlpm.counts=_xlpm.mx)))
)</f>
        <v>Firenze/Fiorenza</v>
      </c>
      <c r="I412">
        <f>_xlfn.XLOOKUP(H412,'Place Profiles'!A:A,'Place Profiles'!B:B,"0")</f>
        <v>43.773821664204803</v>
      </c>
      <c r="J412">
        <f>_xlfn.XLOOKUP(H412,'Place Profiles'!A:A,'Place Profiles'!C:C,"0")</f>
        <v>11.2555362617661</v>
      </c>
    </row>
    <row r="413" spans="1:10" x14ac:dyDescent="0.45">
      <c r="A413" t="str">
        <v>ID_00412</v>
      </c>
      <c r="B413" t="str">
        <v>1617/02/13</v>
      </c>
      <c r="C413" t="str">
        <v>Siena</v>
      </c>
      <c r="D413" s="10">
        <f>_xlfn.XLOOKUP(C413,'Place Profiles'!A:A,'Place Profiles'!B:B,"0")</f>
        <v>43.3184768539152</v>
      </c>
      <c r="E413" s="10">
        <f>_xlfn.XLOOKUP(C413,'Place Profiles'!A:A,'Place Profiles'!C:C,"0")</f>
        <v>11.3310792700061</v>
      </c>
      <c r="F413" t="str">
        <v>Finetti, Lattantio</v>
      </c>
      <c r="G413" t="str">
        <v>de' Medici, Cosimo II</v>
      </c>
      <c r="H413" cm="1">
        <f t="array" ref="H413">_xlfn.LET(
_xlpm.t,$G413,
_xlpm.cands,_xlfn._xlws.FILTER('Place Profiles'!$G$2:$G$929,'Place Profiles'!$G$2:$G$929&lt;&gt;""),
_xlpm.counts,COUNTIFS('Raw Data'!$G$2:$G$501,_xlpm.t,'Raw Data'!$F$2:$F$501,_xlpm.cands),
_xlpm.mx,MAX(_xlpm.counts),
IF(_xlpm.mx=0,0,_xlfn.TEXTJOIN(" / ",TRUE,_xlfn._xlws.FILTER(_xlpm.cands,_xlpm.counts=_xlpm.mx)))
)</f>
        <v>0</v>
      </c>
      <c r="I413" t="str">
        <f>_xlfn.XLOOKUP(H413,'Place Profiles'!A:A,'Place Profiles'!B:B,"0")</f>
        <v>0</v>
      </c>
      <c r="J413" t="str">
        <f>_xlfn.XLOOKUP(H413,'Place Profiles'!A:A,'Place Profiles'!C:C,"0")</f>
        <v>0</v>
      </c>
    </row>
    <row r="414" spans="1:10" x14ac:dyDescent="0.45">
      <c r="A414" t="str">
        <v>ID_00413</v>
      </c>
      <c r="B414" t="str">
        <v>1617/02/13</v>
      </c>
      <c r="C414" t="str">
        <v>Siena</v>
      </c>
      <c r="D414" s="10">
        <f>_xlfn.XLOOKUP(C414,'Place Profiles'!A:A,'Place Profiles'!B:B,"0")</f>
        <v>43.3184768539152</v>
      </c>
      <c r="E414" s="10">
        <f>_xlfn.XLOOKUP(C414,'Place Profiles'!A:A,'Place Profiles'!C:C,"0")</f>
        <v>11.3310792700061</v>
      </c>
      <c r="F414" t="str">
        <v>Finetti, Lattantio</v>
      </c>
      <c r="G414" t="str">
        <v>von Habsburg, Maria Magdalena</v>
      </c>
      <c r="H414" t="str" cm="1">
        <f t="array" ref="H414">_xlfn.LET(
_xlpm.t,$G414,
_xlpm.cands,_xlfn._xlws.FILTER('Place Profiles'!$G$2:$G$929,'Place Profiles'!$G$2:$G$929&lt;&gt;""),
_xlpm.counts,COUNTIFS('Raw Data'!$G$2:$G$501,_xlpm.t,'Raw Data'!$F$2:$F$501,_xlpm.cands),
_xlpm.mx,MAX(_xlpm.counts),
IF(_xlpm.mx=0,0,_xlfn.TEXTJOIN(" / ",TRUE,_xlfn._xlws.FILTER(_xlpm.cands,_xlpm.counts=_xlpm.mx)))
)</f>
        <v>Firenze/Fiorenza</v>
      </c>
      <c r="I414">
        <f>_xlfn.XLOOKUP(H414,'Place Profiles'!A:A,'Place Profiles'!B:B,"0")</f>
        <v>43.773821664204803</v>
      </c>
      <c r="J414">
        <f>_xlfn.XLOOKUP(H414,'Place Profiles'!A:A,'Place Profiles'!C:C,"0")</f>
        <v>11.2555362617661</v>
      </c>
    </row>
    <row r="415" spans="1:10" x14ac:dyDescent="0.45">
      <c r="A415" t="str">
        <v>ID_00414</v>
      </c>
      <c r="B415" t="str">
        <v>1617/02/02</v>
      </c>
      <c r="C415" t="str">
        <v>Siena</v>
      </c>
      <c r="D415" s="10">
        <f>_xlfn.XLOOKUP(C415,'Place Profiles'!A:A,'Place Profiles'!B:B,"0")</f>
        <v>43.3184768539152</v>
      </c>
      <c r="E415" s="10">
        <f>_xlfn.XLOOKUP(C415,'Place Profiles'!A:A,'Place Profiles'!C:C,"0")</f>
        <v>11.3310792700061</v>
      </c>
      <c r="F415" t="str">
        <v>Finetti, Lattantio</v>
      </c>
      <c r="G415" t="str">
        <v>von Habsburg, Maria Magdalena</v>
      </c>
      <c r="H415" t="str" cm="1">
        <f t="array" ref="H415">_xlfn.LET(
_xlpm.t,$G415,
_xlpm.cands,_xlfn._xlws.FILTER('Place Profiles'!$G$2:$G$929,'Place Profiles'!$G$2:$G$929&lt;&gt;""),
_xlpm.counts,COUNTIFS('Raw Data'!$G$2:$G$501,_xlpm.t,'Raw Data'!$F$2:$F$501,_xlpm.cands),
_xlpm.mx,MAX(_xlpm.counts),
IF(_xlpm.mx=0,0,_xlfn.TEXTJOIN(" / ",TRUE,_xlfn._xlws.FILTER(_xlpm.cands,_xlpm.counts=_xlpm.mx)))
)</f>
        <v>Firenze/Fiorenza</v>
      </c>
      <c r="I415">
        <f>_xlfn.XLOOKUP(H415,'Place Profiles'!A:A,'Place Profiles'!B:B,"0")</f>
        <v>43.773821664204803</v>
      </c>
      <c r="J415">
        <f>_xlfn.XLOOKUP(H415,'Place Profiles'!A:A,'Place Profiles'!C:C,"0")</f>
        <v>11.2555362617661</v>
      </c>
    </row>
    <row r="416" spans="1:10" x14ac:dyDescent="0.45">
      <c r="A416" t="str">
        <v>ID_00415</v>
      </c>
      <c r="B416" t="str">
        <v>1617/02/28</v>
      </c>
      <c r="C416" t="str">
        <v>Siena</v>
      </c>
      <c r="D416" s="10">
        <f>_xlfn.XLOOKUP(C416,'Place Profiles'!A:A,'Place Profiles'!B:B,"0")</f>
        <v>43.3184768539152</v>
      </c>
      <c r="E416" s="10">
        <f>_xlfn.XLOOKUP(C416,'Place Profiles'!A:A,'Place Profiles'!C:C,"0")</f>
        <v>11.3310792700061</v>
      </c>
      <c r="F416" t="str">
        <v>Agustini, Marcello</v>
      </c>
      <c r="G416" t="str">
        <v>von Habsburg, Maria Magdalena</v>
      </c>
      <c r="H416" t="str" cm="1">
        <f t="array" ref="H416">_xlfn.LET(
_xlpm.t,$G416,
_xlpm.cands,_xlfn._xlws.FILTER('Place Profiles'!$G$2:$G$929,'Place Profiles'!$G$2:$G$929&lt;&gt;""),
_xlpm.counts,COUNTIFS('Raw Data'!$G$2:$G$501,_xlpm.t,'Raw Data'!$F$2:$F$501,_xlpm.cands),
_xlpm.mx,MAX(_xlpm.counts),
IF(_xlpm.mx=0,0,_xlfn.TEXTJOIN(" / ",TRUE,_xlfn._xlws.FILTER(_xlpm.cands,_xlpm.counts=_xlpm.mx)))
)</f>
        <v>Firenze/Fiorenza</v>
      </c>
      <c r="I416">
        <f>_xlfn.XLOOKUP(H416,'Place Profiles'!A:A,'Place Profiles'!B:B,"0")</f>
        <v>43.773821664204803</v>
      </c>
      <c r="J416">
        <f>_xlfn.XLOOKUP(H416,'Place Profiles'!A:A,'Place Profiles'!C:C,"0")</f>
        <v>11.2555362617661</v>
      </c>
    </row>
    <row r="417" spans="1:10" x14ac:dyDescent="0.45">
      <c r="A417" t="str">
        <v>ID_00416</v>
      </c>
      <c r="B417" t="str">
        <v>1617/03/22</v>
      </c>
      <c r="C417" t="str">
        <v>Siena</v>
      </c>
      <c r="D417" s="10">
        <f>_xlfn.XLOOKUP(C417,'Place Profiles'!A:A,'Place Profiles'!B:B,"0")</f>
        <v>43.3184768539152</v>
      </c>
      <c r="E417" s="10">
        <f>_xlfn.XLOOKUP(C417,'Place Profiles'!A:A,'Place Profiles'!C:C,"0")</f>
        <v>11.3310792700061</v>
      </c>
      <c r="F417" t="str">
        <v>Malvezzi, Peritio</v>
      </c>
      <c r="G417" t="str">
        <v>von Habsburg, Maria Magdalena</v>
      </c>
      <c r="H417" t="str" cm="1">
        <f t="array" ref="H417">_xlfn.LET(
_xlpm.t,$G417,
_xlpm.cands,_xlfn._xlws.FILTER('Place Profiles'!$G$2:$G$929,'Place Profiles'!$G$2:$G$929&lt;&gt;""),
_xlpm.counts,COUNTIFS('Raw Data'!$G$2:$G$501,_xlpm.t,'Raw Data'!$F$2:$F$501,_xlpm.cands),
_xlpm.mx,MAX(_xlpm.counts),
IF(_xlpm.mx=0,0,_xlfn.TEXTJOIN(" / ",TRUE,_xlfn._xlws.FILTER(_xlpm.cands,_xlpm.counts=_xlpm.mx)))
)</f>
        <v>Firenze/Fiorenza</v>
      </c>
      <c r="I417">
        <f>_xlfn.XLOOKUP(H417,'Place Profiles'!A:A,'Place Profiles'!B:B,"0")</f>
        <v>43.773821664204803</v>
      </c>
      <c r="J417">
        <f>_xlfn.XLOOKUP(H417,'Place Profiles'!A:A,'Place Profiles'!C:C,"0")</f>
        <v>11.2555362617661</v>
      </c>
    </row>
    <row r="418" spans="1:10" x14ac:dyDescent="0.45">
      <c r="A418" t="str">
        <v>ID_00417</v>
      </c>
      <c r="B418" t="str">
        <v>1622/12/16</v>
      </c>
      <c r="C418" t="str">
        <v>Siena</v>
      </c>
      <c r="D418" s="10">
        <f>_xlfn.XLOOKUP(C418,'Place Profiles'!A:A,'Place Profiles'!B:B,"0")</f>
        <v>43.3184768539152</v>
      </c>
      <c r="E418" s="10">
        <f>_xlfn.XLOOKUP(C418,'Place Profiles'!A:A,'Place Profiles'!C:C,"0")</f>
        <v>11.3310792700061</v>
      </c>
      <c r="F418" t="str">
        <v>Colomba</v>
      </c>
      <c r="G418" t="str">
        <v>von Habsburg, Maria Magdalena</v>
      </c>
      <c r="H418" t="str" cm="1">
        <f t="array" ref="H418">_xlfn.LET(
_xlpm.t,$G418,
_xlpm.cands,_xlfn._xlws.FILTER('Place Profiles'!$G$2:$G$929,'Place Profiles'!$G$2:$G$929&lt;&gt;""),
_xlpm.counts,COUNTIFS('Raw Data'!$G$2:$G$501,_xlpm.t,'Raw Data'!$F$2:$F$501,_xlpm.cands),
_xlpm.mx,MAX(_xlpm.counts),
IF(_xlpm.mx=0,0,_xlfn.TEXTJOIN(" / ",TRUE,_xlfn._xlws.FILTER(_xlpm.cands,_xlpm.counts=_xlpm.mx)))
)</f>
        <v>Firenze/Fiorenza</v>
      </c>
      <c r="I418">
        <f>_xlfn.XLOOKUP(H418,'Place Profiles'!A:A,'Place Profiles'!B:B,"0")</f>
        <v>43.773821664204803</v>
      </c>
      <c r="J418">
        <f>_xlfn.XLOOKUP(H418,'Place Profiles'!A:A,'Place Profiles'!C:C,"0")</f>
        <v>11.2555362617661</v>
      </c>
    </row>
    <row r="419" spans="1:10" x14ac:dyDescent="0.45">
      <c r="A419" t="str">
        <v>ID_00418</v>
      </c>
      <c r="B419" t="str">
        <v>1627/08/13</v>
      </c>
      <c r="C419" t="str">
        <v>Siena</v>
      </c>
      <c r="D419" s="10">
        <f>_xlfn.XLOOKUP(C419,'Place Profiles'!A:A,'Place Profiles'!B:B,"0")</f>
        <v>43.3184768539152</v>
      </c>
      <c r="E419" s="10">
        <f>_xlfn.XLOOKUP(C419,'Place Profiles'!A:A,'Place Profiles'!C:C,"0")</f>
        <v>11.3310792700061</v>
      </c>
      <c r="F419" t="str">
        <v>de' Medici, Caterina</v>
      </c>
      <c r="G419" t="str">
        <v>Unknown</v>
      </c>
      <c r="H419" t="str" cm="1">
        <f t="array" ref="H419">_xlfn.LET(
_xlpm.t,$G419,
_xlpm.cands,_xlfn._xlws.FILTER('Place Profiles'!$G$2:$G$929,'Place Profiles'!$G$2:$G$929&lt;&gt;""),
_xlpm.counts,COUNTIFS('Raw Data'!$G$2:$G$501,_xlpm.t,'Raw Data'!$F$2:$F$501,_xlpm.cands),
_xlpm.mx,MAX(_xlpm.counts),
IF(_xlpm.mx=0,0,_xlfn.TEXTJOIN(" / ",TRUE,_xlfn._xlws.FILTER(_xlpm.cands,_xlpm.counts=_xlpm.mx)))
)</f>
        <v>Unknown</v>
      </c>
      <c r="I419">
        <f>_xlfn.XLOOKUP(H419,'Place Profiles'!A:A,'Place Profiles'!B:B,"0")</f>
        <v>0</v>
      </c>
      <c r="J419">
        <f>_xlfn.XLOOKUP(H419,'Place Profiles'!A:A,'Place Profiles'!C:C,"0")</f>
        <v>0</v>
      </c>
    </row>
    <row r="420" spans="1:10" x14ac:dyDescent="0.45">
      <c r="A420" t="str">
        <v>ID_00419</v>
      </c>
      <c r="B420" t="str">
        <v>1617/03/25</v>
      </c>
      <c r="C420" t="str">
        <v>Siena</v>
      </c>
      <c r="D420" s="10">
        <f>_xlfn.XLOOKUP(C420,'Place Profiles'!A:A,'Place Profiles'!B:B,"0")</f>
        <v>43.3184768539152</v>
      </c>
      <c r="E420" s="10">
        <f>_xlfn.XLOOKUP(C420,'Place Profiles'!A:A,'Place Profiles'!C:C,"0")</f>
        <v>11.3310792700061</v>
      </c>
      <c r="F420" t="str">
        <v>Tomasi, Elena Avvedutine</v>
      </c>
      <c r="G420" t="str">
        <v>von Habsburg, Maria Magdalena</v>
      </c>
      <c r="H420" t="str" cm="1">
        <f t="array" ref="H420">_xlfn.LET(
_xlpm.t,$G420,
_xlpm.cands,_xlfn._xlws.FILTER('Place Profiles'!$G$2:$G$929,'Place Profiles'!$G$2:$G$929&lt;&gt;""),
_xlpm.counts,COUNTIFS('Raw Data'!$G$2:$G$501,_xlpm.t,'Raw Data'!$F$2:$F$501,_xlpm.cands),
_xlpm.mx,MAX(_xlpm.counts),
IF(_xlpm.mx=0,0,_xlfn.TEXTJOIN(" / ",TRUE,_xlfn._xlws.FILTER(_xlpm.cands,_xlpm.counts=_xlpm.mx)))
)</f>
        <v>Firenze/Fiorenza</v>
      </c>
      <c r="I420">
        <f>_xlfn.XLOOKUP(H420,'Place Profiles'!A:A,'Place Profiles'!B:B,"0")</f>
        <v>43.773821664204803</v>
      </c>
      <c r="J420">
        <f>_xlfn.XLOOKUP(H420,'Place Profiles'!A:A,'Place Profiles'!C:C,"0")</f>
        <v>11.2555362617661</v>
      </c>
    </row>
    <row r="421" spans="1:10" x14ac:dyDescent="0.45">
      <c r="A421" t="str">
        <v>ID_00420</v>
      </c>
      <c r="B421" t="str">
        <v>1617/06/27</v>
      </c>
      <c r="C421" t="str">
        <v>Siena</v>
      </c>
      <c r="D421" s="10">
        <f>_xlfn.XLOOKUP(C421,'Place Profiles'!A:A,'Place Profiles'!B:B,"0")</f>
        <v>43.3184768539152</v>
      </c>
      <c r="E421" s="10">
        <f>_xlfn.XLOOKUP(C421,'Place Profiles'!A:A,'Place Profiles'!C:C,"0")</f>
        <v>11.3310792700061</v>
      </c>
      <c r="F421" t="str">
        <v>Finetti, Lattantio</v>
      </c>
      <c r="G421" t="str">
        <v>von Habsburg, Maria Magdalena</v>
      </c>
      <c r="H421" t="str" cm="1">
        <f t="array" ref="H421">_xlfn.LET(
_xlpm.t,$G421,
_xlpm.cands,_xlfn._xlws.FILTER('Place Profiles'!$G$2:$G$929,'Place Profiles'!$G$2:$G$929&lt;&gt;""),
_xlpm.counts,COUNTIFS('Raw Data'!$G$2:$G$501,_xlpm.t,'Raw Data'!$F$2:$F$501,_xlpm.cands),
_xlpm.mx,MAX(_xlpm.counts),
IF(_xlpm.mx=0,0,_xlfn.TEXTJOIN(" / ",TRUE,_xlfn._xlws.FILTER(_xlpm.cands,_xlpm.counts=_xlpm.mx)))
)</f>
        <v>Firenze/Fiorenza</v>
      </c>
      <c r="I421">
        <f>_xlfn.XLOOKUP(H421,'Place Profiles'!A:A,'Place Profiles'!B:B,"0")</f>
        <v>43.773821664204803</v>
      </c>
      <c r="J421">
        <f>_xlfn.XLOOKUP(H421,'Place Profiles'!A:A,'Place Profiles'!C:C,"0")</f>
        <v>11.2555362617661</v>
      </c>
    </row>
    <row r="422" spans="1:10" x14ac:dyDescent="0.45">
      <c r="A422" t="str">
        <v>ID_00421</v>
      </c>
      <c r="B422" t="str">
        <v>1617/06/22</v>
      </c>
      <c r="C422" t="str">
        <v>Siena</v>
      </c>
      <c r="D422" s="10">
        <f>_xlfn.XLOOKUP(C422,'Place Profiles'!A:A,'Place Profiles'!B:B,"0")</f>
        <v>43.3184768539152</v>
      </c>
      <c r="E422" s="10">
        <f>_xlfn.XLOOKUP(C422,'Place Profiles'!A:A,'Place Profiles'!C:C,"0")</f>
        <v>11.3310792700061</v>
      </c>
      <c r="F422" t="str">
        <v>Finetti, Lattantio</v>
      </c>
      <c r="G422" t="str">
        <v>von Habsburg, Maria Magdalena</v>
      </c>
      <c r="H422" t="str" cm="1">
        <f t="array" ref="H422">_xlfn.LET(
_xlpm.t,$G422,
_xlpm.cands,_xlfn._xlws.FILTER('Place Profiles'!$G$2:$G$929,'Place Profiles'!$G$2:$G$929&lt;&gt;""),
_xlpm.counts,COUNTIFS('Raw Data'!$G$2:$G$501,_xlpm.t,'Raw Data'!$F$2:$F$501,_xlpm.cands),
_xlpm.mx,MAX(_xlpm.counts),
IF(_xlpm.mx=0,0,_xlfn.TEXTJOIN(" / ",TRUE,_xlfn._xlws.FILTER(_xlpm.cands,_xlpm.counts=_xlpm.mx)))
)</f>
        <v>Firenze/Fiorenza</v>
      </c>
      <c r="I422">
        <f>_xlfn.XLOOKUP(H422,'Place Profiles'!A:A,'Place Profiles'!B:B,"0")</f>
        <v>43.773821664204803</v>
      </c>
      <c r="J422">
        <f>_xlfn.XLOOKUP(H422,'Place Profiles'!A:A,'Place Profiles'!C:C,"0")</f>
        <v>11.2555362617661</v>
      </c>
    </row>
    <row r="423" spans="1:10" x14ac:dyDescent="0.45">
      <c r="A423" t="str">
        <v>ID_00422</v>
      </c>
      <c r="B423" t="str">
        <v>1617/07/18</v>
      </c>
      <c r="C423" t="str">
        <v>Siena</v>
      </c>
      <c r="D423" s="10">
        <f>_xlfn.XLOOKUP(C423,'Place Profiles'!A:A,'Place Profiles'!B:B,"0")</f>
        <v>43.3184768539152</v>
      </c>
      <c r="E423" s="10">
        <f>_xlfn.XLOOKUP(C423,'Place Profiles'!A:A,'Place Profiles'!C:C,"0")</f>
        <v>11.3310792700061</v>
      </c>
      <c r="F423" t="str">
        <v>?, Maddalena</v>
      </c>
      <c r="G423" t="str">
        <v>von Habsburg, Maria Magdalena</v>
      </c>
      <c r="H423" t="str" cm="1">
        <f t="array" ref="H423">_xlfn.LET(
_xlpm.t,$G423,
_xlpm.cands,_xlfn._xlws.FILTER('Place Profiles'!$G$2:$G$929,'Place Profiles'!$G$2:$G$929&lt;&gt;""),
_xlpm.counts,COUNTIFS('Raw Data'!$G$2:$G$501,_xlpm.t,'Raw Data'!$F$2:$F$501,_xlpm.cands),
_xlpm.mx,MAX(_xlpm.counts),
IF(_xlpm.mx=0,0,_xlfn.TEXTJOIN(" / ",TRUE,_xlfn._xlws.FILTER(_xlpm.cands,_xlpm.counts=_xlpm.mx)))
)</f>
        <v>Firenze/Fiorenza</v>
      </c>
      <c r="I423">
        <f>_xlfn.XLOOKUP(H423,'Place Profiles'!A:A,'Place Profiles'!B:B,"0")</f>
        <v>43.773821664204803</v>
      </c>
      <c r="J423">
        <f>_xlfn.XLOOKUP(H423,'Place Profiles'!A:A,'Place Profiles'!C:C,"0")</f>
        <v>11.2555362617661</v>
      </c>
    </row>
    <row r="424" spans="1:10" x14ac:dyDescent="0.45">
      <c r="A424" t="str">
        <v>ID_00423</v>
      </c>
      <c r="B424" t="str">
        <v>1617/11/28</v>
      </c>
      <c r="C424" t="str">
        <v>Siena</v>
      </c>
      <c r="D424" s="10">
        <f>_xlfn.XLOOKUP(C424,'Place Profiles'!A:A,'Place Profiles'!B:B,"0")</f>
        <v>43.3184768539152</v>
      </c>
      <c r="E424" s="10">
        <f>_xlfn.XLOOKUP(C424,'Place Profiles'!A:A,'Place Profiles'!C:C,"0")</f>
        <v>11.3310792700061</v>
      </c>
      <c r="F424" t="str">
        <v>Finetti, Lattantio</v>
      </c>
      <c r="G424" t="str">
        <v>von Habsburg, Maria Magdalena</v>
      </c>
      <c r="H424" t="str" cm="1">
        <f t="array" ref="H424">_xlfn.LET(
_xlpm.t,$G424,
_xlpm.cands,_xlfn._xlws.FILTER('Place Profiles'!$G$2:$G$929,'Place Profiles'!$G$2:$G$929&lt;&gt;""),
_xlpm.counts,COUNTIFS('Raw Data'!$G$2:$G$501,_xlpm.t,'Raw Data'!$F$2:$F$501,_xlpm.cands),
_xlpm.mx,MAX(_xlpm.counts),
IF(_xlpm.mx=0,0,_xlfn.TEXTJOIN(" / ",TRUE,_xlfn._xlws.FILTER(_xlpm.cands,_xlpm.counts=_xlpm.mx)))
)</f>
        <v>Firenze/Fiorenza</v>
      </c>
      <c r="I424">
        <f>_xlfn.XLOOKUP(H424,'Place Profiles'!A:A,'Place Profiles'!B:B,"0")</f>
        <v>43.773821664204803</v>
      </c>
      <c r="J424">
        <f>_xlfn.XLOOKUP(H424,'Place Profiles'!A:A,'Place Profiles'!C:C,"0")</f>
        <v>11.2555362617661</v>
      </c>
    </row>
    <row r="425" spans="1:10" x14ac:dyDescent="0.45">
      <c r="A425" t="str">
        <v>ID_00424</v>
      </c>
      <c r="B425" t="str">
        <v>1617/11/28</v>
      </c>
      <c r="C425" t="str">
        <v>Siena</v>
      </c>
      <c r="D425" s="10">
        <f>_xlfn.XLOOKUP(C425,'Place Profiles'!A:A,'Place Profiles'!B:B,"0")</f>
        <v>43.3184768539152</v>
      </c>
      <c r="E425" s="10">
        <f>_xlfn.XLOOKUP(C425,'Place Profiles'!A:A,'Place Profiles'!C:C,"0")</f>
        <v>11.3310792700061</v>
      </c>
      <c r="F425" t="str">
        <v>Finetti, Lattantio</v>
      </c>
      <c r="G425" t="str">
        <v>de' Medici, Cosimo II</v>
      </c>
      <c r="H425" cm="1">
        <f t="array" ref="H425">_xlfn.LET(
_xlpm.t,$G425,
_xlpm.cands,_xlfn._xlws.FILTER('Place Profiles'!$G$2:$G$929,'Place Profiles'!$G$2:$G$929&lt;&gt;""),
_xlpm.counts,COUNTIFS('Raw Data'!$G$2:$G$501,_xlpm.t,'Raw Data'!$F$2:$F$501,_xlpm.cands),
_xlpm.mx,MAX(_xlpm.counts),
IF(_xlpm.mx=0,0,_xlfn.TEXTJOIN(" / ",TRUE,_xlfn._xlws.FILTER(_xlpm.cands,_xlpm.counts=_xlpm.mx)))
)</f>
        <v>0</v>
      </c>
      <c r="I425" t="str">
        <f>_xlfn.XLOOKUP(H425,'Place Profiles'!A:A,'Place Profiles'!B:B,"0")</f>
        <v>0</v>
      </c>
      <c r="J425" t="str">
        <f>_xlfn.XLOOKUP(H425,'Place Profiles'!A:A,'Place Profiles'!C:C,"0")</f>
        <v>0</v>
      </c>
    </row>
    <row r="426" spans="1:10" x14ac:dyDescent="0.45">
      <c r="A426" t="str">
        <v>ID_00425</v>
      </c>
      <c r="B426" t="str">
        <v>1617/12/11</v>
      </c>
      <c r="C426" t="str">
        <v>Siena</v>
      </c>
      <c r="D426" s="10">
        <f>_xlfn.XLOOKUP(C426,'Place Profiles'!A:A,'Place Profiles'!B:B,"0")</f>
        <v>43.3184768539152</v>
      </c>
      <c r="E426" s="10">
        <f>_xlfn.XLOOKUP(C426,'Place Profiles'!A:A,'Place Profiles'!C:C,"0")</f>
        <v>11.3310792700061</v>
      </c>
      <c r="F426" t="str">
        <v>Riccardi, Livio</v>
      </c>
      <c r="G426" t="str">
        <v>von Habsburg, Maria Magdalena</v>
      </c>
      <c r="H426" t="str" cm="1">
        <f t="array" ref="H426">_xlfn.LET(
_xlpm.t,$G426,
_xlpm.cands,_xlfn._xlws.FILTER('Place Profiles'!$G$2:$G$929,'Place Profiles'!$G$2:$G$929&lt;&gt;""),
_xlpm.counts,COUNTIFS('Raw Data'!$G$2:$G$501,_xlpm.t,'Raw Data'!$F$2:$F$501,_xlpm.cands),
_xlpm.mx,MAX(_xlpm.counts),
IF(_xlpm.mx=0,0,_xlfn.TEXTJOIN(" / ",TRUE,_xlfn._xlws.FILTER(_xlpm.cands,_xlpm.counts=_xlpm.mx)))
)</f>
        <v>Firenze/Fiorenza</v>
      </c>
      <c r="I426">
        <f>_xlfn.XLOOKUP(H426,'Place Profiles'!A:A,'Place Profiles'!B:B,"0")</f>
        <v>43.773821664204803</v>
      </c>
      <c r="J426">
        <f>_xlfn.XLOOKUP(H426,'Place Profiles'!A:A,'Place Profiles'!C:C,"0")</f>
        <v>11.2555362617661</v>
      </c>
    </row>
    <row r="427" spans="1:10" x14ac:dyDescent="0.45">
      <c r="A427" t="str">
        <v>ID_00426</v>
      </c>
      <c r="B427" t="str">
        <v>1627/08/14</v>
      </c>
      <c r="C427" t="str">
        <v>Siena</v>
      </c>
      <c r="D427" s="10">
        <f>_xlfn.XLOOKUP(C427,'Place Profiles'!A:A,'Place Profiles'!B:B,"0")</f>
        <v>43.3184768539152</v>
      </c>
      <c r="E427" s="10">
        <f>_xlfn.XLOOKUP(C427,'Place Profiles'!A:A,'Place Profiles'!C:C,"0")</f>
        <v>11.3310792700061</v>
      </c>
      <c r="F427" t="str">
        <v>de' Medici, Caterina</v>
      </c>
      <c r="G427" t="str">
        <v>de' Medici, Ferdinando II</v>
      </c>
      <c r="H427" cm="1">
        <f t="array" ref="H427">_xlfn.LET(
_xlpm.t,$G427,
_xlpm.cands,_xlfn._xlws.FILTER('Place Profiles'!$G$2:$G$929,'Place Profiles'!$G$2:$G$929&lt;&gt;""),
_xlpm.counts,COUNTIFS('Raw Data'!$G$2:$G$501,_xlpm.t,'Raw Data'!$F$2:$F$501,_xlpm.cands),
_xlpm.mx,MAX(_xlpm.counts),
IF(_xlpm.mx=0,0,_xlfn.TEXTJOIN(" / ",TRUE,_xlfn._xlws.FILTER(_xlpm.cands,_xlpm.counts=_xlpm.mx)))
)</f>
        <v>0</v>
      </c>
      <c r="I427" t="str">
        <f>_xlfn.XLOOKUP(H427,'Place Profiles'!A:A,'Place Profiles'!B:B,"0")</f>
        <v>0</v>
      </c>
      <c r="J427" t="str">
        <f>_xlfn.XLOOKUP(H427,'Place Profiles'!A:A,'Place Profiles'!C:C,"0")</f>
        <v>0</v>
      </c>
    </row>
    <row r="428" spans="1:10" x14ac:dyDescent="0.45">
      <c r="A428" t="str">
        <v>ID_00427</v>
      </c>
      <c r="B428" t="str">
        <v>1617/09/27</v>
      </c>
      <c r="C428" t="str">
        <v>Siena</v>
      </c>
      <c r="D428" s="10">
        <f>_xlfn.XLOOKUP(C428,'Place Profiles'!A:A,'Place Profiles'!B:B,"0")</f>
        <v>43.3184768539152</v>
      </c>
      <c r="E428" s="10">
        <f>_xlfn.XLOOKUP(C428,'Place Profiles'!A:A,'Place Profiles'!C:C,"0")</f>
        <v>11.3310792700061</v>
      </c>
      <c r="F428" t="str">
        <v>Finetti, Lattantio</v>
      </c>
      <c r="G428" t="str">
        <v>von Habsburg, Maria Magdalena</v>
      </c>
      <c r="H428" t="str" cm="1">
        <f t="array" ref="H428">_xlfn.LET(
_xlpm.t,$G428,
_xlpm.cands,_xlfn._xlws.FILTER('Place Profiles'!$G$2:$G$929,'Place Profiles'!$G$2:$G$929&lt;&gt;""),
_xlpm.counts,COUNTIFS('Raw Data'!$G$2:$G$501,_xlpm.t,'Raw Data'!$F$2:$F$501,_xlpm.cands),
_xlpm.mx,MAX(_xlpm.counts),
IF(_xlpm.mx=0,0,_xlfn.TEXTJOIN(" / ",TRUE,_xlfn._xlws.FILTER(_xlpm.cands,_xlpm.counts=_xlpm.mx)))
)</f>
        <v>Firenze/Fiorenza</v>
      </c>
      <c r="I428">
        <f>_xlfn.XLOOKUP(H428,'Place Profiles'!A:A,'Place Profiles'!B:B,"0")</f>
        <v>43.773821664204803</v>
      </c>
      <c r="J428">
        <f>_xlfn.XLOOKUP(H428,'Place Profiles'!A:A,'Place Profiles'!C:C,"0")</f>
        <v>11.2555362617661</v>
      </c>
    </row>
    <row r="429" spans="1:10" x14ac:dyDescent="0.45">
      <c r="A429" t="str">
        <v>ID_00428</v>
      </c>
      <c r="B429" t="str">
        <v>1617/12/29</v>
      </c>
      <c r="C429" t="str">
        <v>Siena</v>
      </c>
      <c r="D429" s="10">
        <f>_xlfn.XLOOKUP(C429,'Place Profiles'!A:A,'Place Profiles'!B:B,"0")</f>
        <v>43.3184768539152</v>
      </c>
      <c r="E429" s="10">
        <f>_xlfn.XLOOKUP(C429,'Place Profiles'!A:A,'Place Profiles'!C:C,"0")</f>
        <v>11.3310792700061</v>
      </c>
      <c r="F429" t="str">
        <v>Malvezzi, Peritio</v>
      </c>
      <c r="G429" t="str">
        <v>von Habsburg, Maria Magdalena</v>
      </c>
      <c r="H429" t="str" cm="1">
        <f t="array" ref="H429">_xlfn.LET(
_xlpm.t,$G429,
_xlpm.cands,_xlfn._xlws.FILTER('Place Profiles'!$G$2:$G$929,'Place Profiles'!$G$2:$G$929&lt;&gt;""),
_xlpm.counts,COUNTIFS('Raw Data'!$G$2:$G$501,_xlpm.t,'Raw Data'!$F$2:$F$501,_xlpm.cands),
_xlpm.mx,MAX(_xlpm.counts),
IF(_xlpm.mx=0,0,_xlfn.TEXTJOIN(" / ",TRUE,_xlfn._xlws.FILTER(_xlpm.cands,_xlpm.counts=_xlpm.mx)))
)</f>
        <v>Firenze/Fiorenza</v>
      </c>
      <c r="I429">
        <f>_xlfn.XLOOKUP(H429,'Place Profiles'!A:A,'Place Profiles'!B:B,"0")</f>
        <v>43.773821664204803</v>
      </c>
      <c r="J429">
        <f>_xlfn.XLOOKUP(H429,'Place Profiles'!A:A,'Place Profiles'!C:C,"0")</f>
        <v>11.2555362617661</v>
      </c>
    </row>
    <row r="430" spans="1:10" x14ac:dyDescent="0.45">
      <c r="A430" t="str">
        <v>ID_00429</v>
      </c>
      <c r="B430" t="str">
        <v>1618/04/03</v>
      </c>
      <c r="C430" t="str">
        <v>Siena</v>
      </c>
      <c r="D430" s="10">
        <f>_xlfn.XLOOKUP(C430,'Place Profiles'!A:A,'Place Profiles'!B:B,"0")</f>
        <v>43.3184768539152</v>
      </c>
      <c r="E430" s="10">
        <f>_xlfn.XLOOKUP(C430,'Place Profiles'!A:A,'Place Profiles'!C:C,"0")</f>
        <v>11.3310792700061</v>
      </c>
      <c r="F430" t="str">
        <v>Malvezzi, Peritio</v>
      </c>
      <c r="G430" t="str">
        <v>di Lorena, Cristina</v>
      </c>
      <c r="H430" t="str" cm="1">
        <f t="array" ref="H430">_xlfn.LET(
_xlpm.t,$G430,
_xlpm.cands,_xlfn._xlws.FILTER('Place Profiles'!$G$2:$G$929,'Place Profiles'!$G$2:$G$929&lt;&gt;""),
_xlpm.counts,COUNTIFS('Raw Data'!$G$2:$G$501,_xlpm.t,'Raw Data'!$F$2:$F$501,_xlpm.cands),
_xlpm.mx,MAX(_xlpm.counts),
IF(_xlpm.mx=0,0,_xlfn.TEXTJOIN(" / ",TRUE,_xlfn._xlws.FILTER(_xlpm.cands,_xlpm.counts=_xlpm.mx)))
)</f>
        <v>Firenze/Fiorenza</v>
      </c>
      <c r="I430">
        <f>_xlfn.XLOOKUP(H430,'Place Profiles'!A:A,'Place Profiles'!B:B,"0")</f>
        <v>43.773821664204803</v>
      </c>
      <c r="J430">
        <f>_xlfn.XLOOKUP(H430,'Place Profiles'!A:A,'Place Profiles'!C:C,"0")</f>
        <v>11.2555362617661</v>
      </c>
    </row>
    <row r="431" spans="1:10" x14ac:dyDescent="0.45">
      <c r="A431" t="str">
        <v>ID_00430</v>
      </c>
      <c r="B431" t="str">
        <v>1618/06/23</v>
      </c>
      <c r="C431" t="str">
        <v>Siena</v>
      </c>
      <c r="D431" s="10">
        <f>_xlfn.XLOOKUP(C431,'Place Profiles'!A:A,'Place Profiles'!B:B,"0")</f>
        <v>43.3184768539152</v>
      </c>
      <c r="E431" s="10">
        <f>_xlfn.XLOOKUP(C431,'Place Profiles'!A:A,'Place Profiles'!C:C,"0")</f>
        <v>11.3310792700061</v>
      </c>
      <c r="F431" t="str">
        <v>Unnamed</v>
      </c>
      <c r="G431" t="str">
        <v>von Habsburg, Maria Magdalena</v>
      </c>
      <c r="H431" t="str" cm="1">
        <f t="array" ref="H431">_xlfn.LET(
_xlpm.t,$G431,
_xlpm.cands,_xlfn._xlws.FILTER('Place Profiles'!$G$2:$G$929,'Place Profiles'!$G$2:$G$929&lt;&gt;""),
_xlpm.counts,COUNTIFS('Raw Data'!$G$2:$G$501,_xlpm.t,'Raw Data'!$F$2:$F$501,_xlpm.cands),
_xlpm.mx,MAX(_xlpm.counts),
IF(_xlpm.mx=0,0,_xlfn.TEXTJOIN(" / ",TRUE,_xlfn._xlws.FILTER(_xlpm.cands,_xlpm.counts=_xlpm.mx)))
)</f>
        <v>Firenze/Fiorenza</v>
      </c>
      <c r="I431">
        <f>_xlfn.XLOOKUP(H431,'Place Profiles'!A:A,'Place Profiles'!B:B,"0")</f>
        <v>43.773821664204803</v>
      </c>
      <c r="J431">
        <f>_xlfn.XLOOKUP(H431,'Place Profiles'!A:A,'Place Profiles'!C:C,"0")</f>
        <v>11.2555362617661</v>
      </c>
    </row>
    <row r="432" spans="1:10" x14ac:dyDescent="0.45">
      <c r="A432" t="str">
        <v>ID_00431</v>
      </c>
      <c r="B432" t="str">
        <v>1623/01/01</v>
      </c>
      <c r="C432" t="str">
        <v>Siena</v>
      </c>
      <c r="D432" s="10">
        <f>_xlfn.XLOOKUP(C432,'Place Profiles'!A:A,'Place Profiles'!B:B,"0")</f>
        <v>43.3184768539152</v>
      </c>
      <c r="E432" s="10">
        <f>_xlfn.XLOOKUP(C432,'Place Profiles'!A:A,'Place Profiles'!C:C,"0")</f>
        <v>11.3310792700061</v>
      </c>
      <c r="F432" t="str">
        <v>Colomba</v>
      </c>
      <c r="G432" t="str">
        <v>von Habsburg, Maria Magdalena</v>
      </c>
      <c r="H432" t="str" cm="1">
        <f t="array" ref="H432">_xlfn.LET(
_xlpm.t,$G432,
_xlpm.cands,_xlfn._xlws.FILTER('Place Profiles'!$G$2:$G$929,'Place Profiles'!$G$2:$G$929&lt;&gt;""),
_xlpm.counts,COUNTIFS('Raw Data'!$G$2:$G$501,_xlpm.t,'Raw Data'!$F$2:$F$501,_xlpm.cands),
_xlpm.mx,MAX(_xlpm.counts),
IF(_xlpm.mx=0,0,_xlfn.TEXTJOIN(" / ",TRUE,_xlfn._xlws.FILTER(_xlpm.cands,_xlpm.counts=_xlpm.mx)))
)</f>
        <v>Firenze/Fiorenza</v>
      </c>
      <c r="I432">
        <f>_xlfn.XLOOKUP(H432,'Place Profiles'!A:A,'Place Profiles'!B:B,"0")</f>
        <v>43.773821664204803</v>
      </c>
      <c r="J432">
        <f>_xlfn.XLOOKUP(H432,'Place Profiles'!A:A,'Place Profiles'!C:C,"0")</f>
        <v>11.2555362617661</v>
      </c>
    </row>
    <row r="433" spans="1:10" x14ac:dyDescent="0.45">
      <c r="A433" t="str">
        <v>ID_00432</v>
      </c>
      <c r="B433" t="str">
        <v>1618/06/26</v>
      </c>
      <c r="C433" t="str">
        <v>Siena</v>
      </c>
      <c r="D433" s="10">
        <f>_xlfn.XLOOKUP(C433,'Place Profiles'!A:A,'Place Profiles'!B:B,"0")</f>
        <v>43.3184768539152</v>
      </c>
      <c r="E433" s="10">
        <f>_xlfn.XLOOKUP(C433,'Place Profiles'!A:A,'Place Profiles'!C:C,"0")</f>
        <v>11.3310792700061</v>
      </c>
      <c r="F433" t="str">
        <v>?, Maddalena</v>
      </c>
      <c r="G433" t="str">
        <v>von Habsburg, Maria Magdalena</v>
      </c>
      <c r="H433" t="str" cm="1">
        <f t="array" ref="H433">_xlfn.LET(
_xlpm.t,$G433,
_xlpm.cands,_xlfn._xlws.FILTER('Place Profiles'!$G$2:$G$929,'Place Profiles'!$G$2:$G$929&lt;&gt;""),
_xlpm.counts,COUNTIFS('Raw Data'!$G$2:$G$501,_xlpm.t,'Raw Data'!$F$2:$F$501,_xlpm.cands),
_xlpm.mx,MAX(_xlpm.counts),
IF(_xlpm.mx=0,0,_xlfn.TEXTJOIN(" / ",TRUE,_xlfn._xlws.FILTER(_xlpm.cands,_xlpm.counts=_xlpm.mx)))
)</f>
        <v>Firenze/Fiorenza</v>
      </c>
      <c r="I433">
        <f>_xlfn.XLOOKUP(H433,'Place Profiles'!A:A,'Place Profiles'!B:B,"0")</f>
        <v>43.773821664204803</v>
      </c>
      <c r="J433">
        <f>_xlfn.XLOOKUP(H433,'Place Profiles'!A:A,'Place Profiles'!C:C,"0")</f>
        <v>11.2555362617661</v>
      </c>
    </row>
    <row r="434" spans="1:10" x14ac:dyDescent="0.45">
      <c r="A434" t="str">
        <v>ID_00433</v>
      </c>
      <c r="B434" t="str">
        <v>1618/08/14</v>
      </c>
      <c r="C434" t="str">
        <v>Siena</v>
      </c>
      <c r="D434" s="10">
        <f>_xlfn.XLOOKUP(C434,'Place Profiles'!A:A,'Place Profiles'!B:B,"0")</f>
        <v>43.3184768539152</v>
      </c>
      <c r="E434" s="10">
        <f>_xlfn.XLOOKUP(C434,'Place Profiles'!A:A,'Place Profiles'!C:C,"0")</f>
        <v>11.3310792700061</v>
      </c>
      <c r="F434" t="str">
        <v>Santi, Aquilo</v>
      </c>
      <c r="G434" t="str">
        <v>von Habsburg, Maria Magdalena</v>
      </c>
      <c r="H434" t="str" cm="1">
        <f t="array" ref="H434">_xlfn.LET(
_xlpm.t,$G434,
_xlpm.cands,_xlfn._xlws.FILTER('Place Profiles'!$G$2:$G$929,'Place Profiles'!$G$2:$G$929&lt;&gt;""),
_xlpm.counts,COUNTIFS('Raw Data'!$G$2:$G$501,_xlpm.t,'Raw Data'!$F$2:$F$501,_xlpm.cands),
_xlpm.mx,MAX(_xlpm.counts),
IF(_xlpm.mx=0,0,_xlfn.TEXTJOIN(" / ",TRUE,_xlfn._xlws.FILTER(_xlpm.cands,_xlpm.counts=_xlpm.mx)))
)</f>
        <v>Firenze/Fiorenza</v>
      </c>
      <c r="I434">
        <f>_xlfn.XLOOKUP(H434,'Place Profiles'!A:A,'Place Profiles'!B:B,"0")</f>
        <v>43.773821664204803</v>
      </c>
      <c r="J434">
        <f>_xlfn.XLOOKUP(H434,'Place Profiles'!A:A,'Place Profiles'!C:C,"0")</f>
        <v>11.2555362617661</v>
      </c>
    </row>
    <row r="435" spans="1:10" x14ac:dyDescent="0.45">
      <c r="A435" t="str">
        <v>ID_00434</v>
      </c>
      <c r="B435" t="str">
        <v>1618/00/10</v>
      </c>
      <c r="C435" t="str">
        <v>Siena</v>
      </c>
      <c r="D435" s="10">
        <f>_xlfn.XLOOKUP(C435,'Place Profiles'!A:A,'Place Profiles'!B:B,"0")</f>
        <v>43.3184768539152</v>
      </c>
      <c r="E435" s="10">
        <f>_xlfn.XLOOKUP(C435,'Place Profiles'!A:A,'Place Profiles'!C:C,"0")</f>
        <v>11.3310792700061</v>
      </c>
      <c r="F435" t="str">
        <v>Finetti, Lattantio</v>
      </c>
      <c r="G435" t="str">
        <v>de' Medici, Cosimo II</v>
      </c>
      <c r="H435" cm="1">
        <f t="array" ref="H435">_xlfn.LET(
_xlpm.t,$G435,
_xlpm.cands,_xlfn._xlws.FILTER('Place Profiles'!$G$2:$G$929,'Place Profiles'!$G$2:$G$929&lt;&gt;""),
_xlpm.counts,COUNTIFS('Raw Data'!$G$2:$G$501,_xlpm.t,'Raw Data'!$F$2:$F$501,_xlpm.cands),
_xlpm.mx,MAX(_xlpm.counts),
IF(_xlpm.mx=0,0,_xlfn.TEXTJOIN(" / ",TRUE,_xlfn._xlws.FILTER(_xlpm.cands,_xlpm.counts=_xlpm.mx)))
)</f>
        <v>0</v>
      </c>
      <c r="I435" t="str">
        <f>_xlfn.XLOOKUP(H435,'Place Profiles'!A:A,'Place Profiles'!B:B,"0")</f>
        <v>0</v>
      </c>
      <c r="J435" t="str">
        <f>_xlfn.XLOOKUP(H435,'Place Profiles'!A:A,'Place Profiles'!C:C,"0")</f>
        <v>0</v>
      </c>
    </row>
    <row r="436" spans="1:10" x14ac:dyDescent="0.45">
      <c r="A436" t="str">
        <v>ID_00435</v>
      </c>
      <c r="B436" t="str">
        <v>1619/03/22</v>
      </c>
      <c r="C436" t="str">
        <v>Siena</v>
      </c>
      <c r="D436" s="10">
        <f>_xlfn.XLOOKUP(C436,'Place Profiles'!A:A,'Place Profiles'!B:B,"0")</f>
        <v>43.3184768539152</v>
      </c>
      <c r="E436" s="10">
        <f>_xlfn.XLOOKUP(C436,'Place Profiles'!A:A,'Place Profiles'!C:C,"0")</f>
        <v>11.3310792700061</v>
      </c>
      <c r="F436" t="str">
        <v>Viarano, Antonio</v>
      </c>
      <c r="G436" t="str">
        <v>von Habsburg, Maria Magdalena</v>
      </c>
      <c r="H436" t="str" cm="1">
        <f t="array" ref="H436">_xlfn.LET(
_xlpm.t,$G436,
_xlpm.cands,_xlfn._xlws.FILTER('Place Profiles'!$G$2:$G$929,'Place Profiles'!$G$2:$G$929&lt;&gt;""),
_xlpm.counts,COUNTIFS('Raw Data'!$G$2:$G$501,_xlpm.t,'Raw Data'!$F$2:$F$501,_xlpm.cands),
_xlpm.mx,MAX(_xlpm.counts),
IF(_xlpm.mx=0,0,_xlfn.TEXTJOIN(" / ",TRUE,_xlfn._xlws.FILTER(_xlpm.cands,_xlpm.counts=_xlpm.mx)))
)</f>
        <v>Firenze/Fiorenza</v>
      </c>
      <c r="I436">
        <f>_xlfn.XLOOKUP(H436,'Place Profiles'!A:A,'Place Profiles'!B:B,"0")</f>
        <v>43.773821664204803</v>
      </c>
      <c r="J436">
        <f>_xlfn.XLOOKUP(H436,'Place Profiles'!A:A,'Place Profiles'!C:C,"0")</f>
        <v>11.2555362617661</v>
      </c>
    </row>
    <row r="437" spans="1:10" x14ac:dyDescent="0.45">
      <c r="A437" t="str">
        <v>ID_00436</v>
      </c>
      <c r="B437" t="str">
        <v>1619/04/01</v>
      </c>
      <c r="C437" t="str">
        <v>Siena</v>
      </c>
      <c r="D437" s="10">
        <f>_xlfn.XLOOKUP(C437,'Place Profiles'!A:A,'Place Profiles'!B:B,"0")</f>
        <v>43.3184768539152</v>
      </c>
      <c r="E437" s="10">
        <f>_xlfn.XLOOKUP(C437,'Place Profiles'!A:A,'Place Profiles'!C:C,"0")</f>
        <v>11.3310792700061</v>
      </c>
      <c r="F437" t="str">
        <v xml:space="preserve">Bulgherini, Ipolita Agustini </v>
      </c>
      <c r="G437" t="str">
        <v>von Habsburg, Maria Magdalena</v>
      </c>
      <c r="H437" t="str" cm="1">
        <f t="array" ref="H437">_xlfn.LET(
_xlpm.t,$G437,
_xlpm.cands,_xlfn._xlws.FILTER('Place Profiles'!$G$2:$G$929,'Place Profiles'!$G$2:$G$929&lt;&gt;""),
_xlpm.counts,COUNTIFS('Raw Data'!$G$2:$G$501,_xlpm.t,'Raw Data'!$F$2:$F$501,_xlpm.cands),
_xlpm.mx,MAX(_xlpm.counts),
IF(_xlpm.mx=0,0,_xlfn.TEXTJOIN(" / ",TRUE,_xlfn._xlws.FILTER(_xlpm.cands,_xlpm.counts=_xlpm.mx)))
)</f>
        <v>Firenze/Fiorenza</v>
      </c>
      <c r="I437">
        <f>_xlfn.XLOOKUP(H437,'Place Profiles'!A:A,'Place Profiles'!B:B,"0")</f>
        <v>43.773821664204803</v>
      </c>
      <c r="J437">
        <f>_xlfn.XLOOKUP(H437,'Place Profiles'!A:A,'Place Profiles'!C:C,"0")</f>
        <v>11.2555362617661</v>
      </c>
    </row>
    <row r="438" spans="1:10" x14ac:dyDescent="0.45">
      <c r="A438" t="str">
        <v>ID_00437</v>
      </c>
      <c r="B438" t="str">
        <v>1619/04/09</v>
      </c>
      <c r="C438" t="str">
        <v>Siena</v>
      </c>
      <c r="D438" s="10">
        <f>_xlfn.XLOOKUP(C438,'Place Profiles'!A:A,'Place Profiles'!B:B,"0")</f>
        <v>43.3184768539152</v>
      </c>
      <c r="E438" s="10">
        <f>_xlfn.XLOOKUP(C438,'Place Profiles'!A:A,'Place Profiles'!C:C,"0")</f>
        <v>11.3310792700061</v>
      </c>
      <c r="F438" t="str">
        <v>Colomba</v>
      </c>
      <c r="G438" t="str">
        <v>von Habsburg, Maria Magdalena</v>
      </c>
      <c r="H438" t="str" cm="1">
        <f t="array" ref="H438">_xlfn.LET(
_xlpm.t,$G438,
_xlpm.cands,_xlfn._xlws.FILTER('Place Profiles'!$G$2:$G$929,'Place Profiles'!$G$2:$G$929&lt;&gt;""),
_xlpm.counts,COUNTIFS('Raw Data'!$G$2:$G$501,_xlpm.t,'Raw Data'!$F$2:$F$501,_xlpm.cands),
_xlpm.mx,MAX(_xlpm.counts),
IF(_xlpm.mx=0,0,_xlfn.TEXTJOIN(" / ",TRUE,_xlfn._xlws.FILTER(_xlpm.cands,_xlpm.counts=_xlpm.mx)))
)</f>
        <v>Firenze/Fiorenza</v>
      </c>
      <c r="I438">
        <f>_xlfn.XLOOKUP(H438,'Place Profiles'!A:A,'Place Profiles'!B:B,"0")</f>
        <v>43.773821664204803</v>
      </c>
      <c r="J438">
        <f>_xlfn.XLOOKUP(H438,'Place Profiles'!A:A,'Place Profiles'!C:C,"0")</f>
        <v>11.2555362617661</v>
      </c>
    </row>
    <row r="439" spans="1:10" x14ac:dyDescent="0.45">
      <c r="A439" t="str">
        <v>ID_00438</v>
      </c>
      <c r="B439" t="str">
        <v>1627/08/17</v>
      </c>
      <c r="C439" t="str">
        <v>Siena</v>
      </c>
      <c r="D439" s="10">
        <f>_xlfn.XLOOKUP(C439,'Place Profiles'!A:A,'Place Profiles'!B:B,"0")</f>
        <v>43.3184768539152</v>
      </c>
      <c r="E439" s="10">
        <f>_xlfn.XLOOKUP(C439,'Place Profiles'!A:A,'Place Profiles'!C:C,"0")</f>
        <v>11.3310792700061</v>
      </c>
      <c r="F439" t="str">
        <v>de' Medici, Caterina</v>
      </c>
      <c r="G439" t="str">
        <v>Cioli, Andrea</v>
      </c>
      <c r="H439" cm="1">
        <f t="array" ref="H439">_xlfn.LET(
_xlpm.t,$G439,
_xlpm.cands,_xlfn._xlws.FILTER('Place Profiles'!$G$2:$G$929,'Place Profiles'!$G$2:$G$929&lt;&gt;""),
_xlpm.counts,COUNTIFS('Raw Data'!$G$2:$G$501,_xlpm.t,'Raw Data'!$F$2:$F$501,_xlpm.cands),
_xlpm.mx,MAX(_xlpm.counts),
IF(_xlpm.mx=0,0,_xlfn.TEXTJOIN(" / ",TRUE,_xlfn._xlws.FILTER(_xlpm.cands,_xlpm.counts=_xlpm.mx)))
)</f>
        <v>0</v>
      </c>
      <c r="I439" t="str">
        <f>_xlfn.XLOOKUP(H439,'Place Profiles'!A:A,'Place Profiles'!B:B,"0")</f>
        <v>0</v>
      </c>
      <c r="J439" t="str">
        <f>_xlfn.XLOOKUP(H439,'Place Profiles'!A:A,'Place Profiles'!C:C,"0")</f>
        <v>0</v>
      </c>
    </row>
    <row r="440" spans="1:10" x14ac:dyDescent="0.45">
      <c r="A440" t="str">
        <v>ID_00439</v>
      </c>
      <c r="B440" t="str">
        <v>0000/00/00</v>
      </c>
      <c r="C440" t="str">
        <v>Siena</v>
      </c>
      <c r="D440" s="10">
        <f>_xlfn.XLOOKUP(C440,'Place Profiles'!A:A,'Place Profiles'!B:B,"0")</f>
        <v>43.3184768539152</v>
      </c>
      <c r="E440" s="10">
        <f>_xlfn.XLOOKUP(C440,'Place Profiles'!A:A,'Place Profiles'!C:C,"0")</f>
        <v>11.3310792700061</v>
      </c>
      <c r="F440" t="str">
        <v>Colomba</v>
      </c>
      <c r="G440" t="str">
        <v>von Habsburg, Maria Magdalena</v>
      </c>
      <c r="H440" t="str" cm="1">
        <f t="array" ref="H440">_xlfn.LET(
_xlpm.t,$G440,
_xlpm.cands,_xlfn._xlws.FILTER('Place Profiles'!$G$2:$G$929,'Place Profiles'!$G$2:$G$929&lt;&gt;""),
_xlpm.counts,COUNTIFS('Raw Data'!$G$2:$G$501,_xlpm.t,'Raw Data'!$F$2:$F$501,_xlpm.cands),
_xlpm.mx,MAX(_xlpm.counts),
IF(_xlpm.mx=0,0,_xlfn.TEXTJOIN(" / ",TRUE,_xlfn._xlws.FILTER(_xlpm.cands,_xlpm.counts=_xlpm.mx)))
)</f>
        <v>Firenze/Fiorenza</v>
      </c>
      <c r="I440">
        <f>_xlfn.XLOOKUP(H440,'Place Profiles'!A:A,'Place Profiles'!B:B,"0")</f>
        <v>43.773821664204803</v>
      </c>
      <c r="J440">
        <f>_xlfn.XLOOKUP(H440,'Place Profiles'!A:A,'Place Profiles'!C:C,"0")</f>
        <v>11.2555362617661</v>
      </c>
    </row>
    <row r="441" spans="1:10" x14ac:dyDescent="0.45">
      <c r="A441" t="str">
        <v>ID_00440</v>
      </c>
      <c r="B441" t="str">
        <v>1619/04/23</v>
      </c>
      <c r="C441" t="str">
        <v>Siena</v>
      </c>
      <c r="D441" s="10">
        <f>_xlfn.XLOOKUP(C441,'Place Profiles'!A:A,'Place Profiles'!B:B,"0")</f>
        <v>43.3184768539152</v>
      </c>
      <c r="E441" s="10">
        <f>_xlfn.XLOOKUP(C441,'Place Profiles'!A:A,'Place Profiles'!C:C,"0")</f>
        <v>11.3310792700061</v>
      </c>
      <c r="F441" t="str">
        <v>Malvezzi, Peritio</v>
      </c>
      <c r="G441" t="str">
        <v>di Lorena, Cristina</v>
      </c>
      <c r="H441" t="str" cm="1">
        <f t="array" ref="H441">_xlfn.LET(
_xlpm.t,$G441,
_xlpm.cands,_xlfn._xlws.FILTER('Place Profiles'!$G$2:$G$929,'Place Profiles'!$G$2:$G$929&lt;&gt;""),
_xlpm.counts,COUNTIFS('Raw Data'!$G$2:$G$501,_xlpm.t,'Raw Data'!$F$2:$F$501,_xlpm.cands),
_xlpm.mx,MAX(_xlpm.counts),
IF(_xlpm.mx=0,0,_xlfn.TEXTJOIN(" / ",TRUE,_xlfn._xlws.FILTER(_xlpm.cands,_xlpm.counts=_xlpm.mx)))
)</f>
        <v>Firenze/Fiorenza</v>
      </c>
      <c r="I441">
        <f>_xlfn.XLOOKUP(H441,'Place Profiles'!A:A,'Place Profiles'!B:B,"0")</f>
        <v>43.773821664204803</v>
      </c>
      <c r="J441">
        <f>_xlfn.XLOOKUP(H441,'Place Profiles'!A:A,'Place Profiles'!C:C,"0")</f>
        <v>11.2555362617661</v>
      </c>
    </row>
    <row r="442" spans="1:10" x14ac:dyDescent="0.45">
      <c r="A442" t="str">
        <v>ID_00441</v>
      </c>
      <c r="B442" t="str">
        <v>1619/06/20</v>
      </c>
      <c r="C442" t="str">
        <v>Siena</v>
      </c>
      <c r="D442" s="10">
        <f>_xlfn.XLOOKUP(C442,'Place Profiles'!A:A,'Place Profiles'!B:B,"0")</f>
        <v>43.3184768539152</v>
      </c>
      <c r="E442" s="10">
        <f>_xlfn.XLOOKUP(C442,'Place Profiles'!A:A,'Place Profiles'!C:C,"0")</f>
        <v>11.3310792700061</v>
      </c>
      <c r="F442" t="str">
        <v>Illegible</v>
      </c>
      <c r="G442" t="str">
        <v>de' Medici, Ferdinando II</v>
      </c>
      <c r="H442" cm="1">
        <f t="array" ref="H442">_xlfn.LET(
_xlpm.t,$G442,
_xlpm.cands,_xlfn._xlws.FILTER('Place Profiles'!$G$2:$G$929,'Place Profiles'!$G$2:$G$929&lt;&gt;""),
_xlpm.counts,COUNTIFS('Raw Data'!$G$2:$G$501,_xlpm.t,'Raw Data'!$F$2:$F$501,_xlpm.cands),
_xlpm.mx,MAX(_xlpm.counts),
IF(_xlpm.mx=0,0,_xlfn.TEXTJOIN(" / ",TRUE,_xlfn._xlws.FILTER(_xlpm.cands,_xlpm.counts=_xlpm.mx)))
)</f>
        <v>0</v>
      </c>
      <c r="I442" t="str">
        <f>_xlfn.XLOOKUP(H442,'Place Profiles'!A:A,'Place Profiles'!B:B,"0")</f>
        <v>0</v>
      </c>
      <c r="J442" t="str">
        <f>_xlfn.XLOOKUP(H442,'Place Profiles'!A:A,'Place Profiles'!C:C,"0")</f>
        <v>0</v>
      </c>
    </row>
    <row r="443" spans="1:10" x14ac:dyDescent="0.45">
      <c r="A443" t="str">
        <v>ID_00442</v>
      </c>
      <c r="B443" t="str">
        <v>1619/06/20</v>
      </c>
      <c r="C443" t="str">
        <v>Siena</v>
      </c>
      <c r="D443" s="10">
        <f>_xlfn.XLOOKUP(C443,'Place Profiles'!A:A,'Place Profiles'!B:B,"0")</f>
        <v>43.3184768539152</v>
      </c>
      <c r="E443" s="10">
        <f>_xlfn.XLOOKUP(C443,'Place Profiles'!A:A,'Place Profiles'!C:C,"0")</f>
        <v>11.3310792700061</v>
      </c>
      <c r="F443" t="str">
        <v>Pallagrossa, Pietro</v>
      </c>
      <c r="G443" t="str">
        <v>von Habsburg, Maria Magdalena</v>
      </c>
      <c r="H443" t="str" cm="1">
        <f t="array" ref="H443">_xlfn.LET(
_xlpm.t,$G443,
_xlpm.cands,_xlfn._xlws.FILTER('Place Profiles'!$G$2:$G$929,'Place Profiles'!$G$2:$G$929&lt;&gt;""),
_xlpm.counts,COUNTIFS('Raw Data'!$G$2:$G$501,_xlpm.t,'Raw Data'!$F$2:$F$501,_xlpm.cands),
_xlpm.mx,MAX(_xlpm.counts),
IF(_xlpm.mx=0,0,_xlfn.TEXTJOIN(" / ",TRUE,_xlfn._xlws.FILTER(_xlpm.cands,_xlpm.counts=_xlpm.mx)))
)</f>
        <v>Firenze/Fiorenza</v>
      </c>
      <c r="I443">
        <f>_xlfn.XLOOKUP(H443,'Place Profiles'!A:A,'Place Profiles'!B:B,"0")</f>
        <v>43.773821664204803</v>
      </c>
      <c r="J443">
        <f>_xlfn.XLOOKUP(H443,'Place Profiles'!A:A,'Place Profiles'!C:C,"0")</f>
        <v>11.2555362617661</v>
      </c>
    </row>
    <row r="444" spans="1:10" x14ac:dyDescent="0.45">
      <c r="A444" t="str">
        <v>ID_00443</v>
      </c>
      <c r="B444" t="str">
        <v>1619/06/20</v>
      </c>
      <c r="C444" t="str">
        <v>Siena</v>
      </c>
      <c r="D444" s="10">
        <f>_xlfn.XLOOKUP(C444,'Place Profiles'!A:A,'Place Profiles'!B:B,"0")</f>
        <v>43.3184768539152</v>
      </c>
      <c r="E444" s="10">
        <f>_xlfn.XLOOKUP(C444,'Place Profiles'!A:A,'Place Profiles'!C:C,"0")</f>
        <v>11.3310792700061</v>
      </c>
      <c r="F444" t="str">
        <v>Pallagrossa, Pietro</v>
      </c>
      <c r="G444" t="str">
        <v>de' Medici, Cosimo II</v>
      </c>
      <c r="H444" cm="1">
        <f t="array" ref="H444">_xlfn.LET(
_xlpm.t,$G444,
_xlpm.cands,_xlfn._xlws.FILTER('Place Profiles'!$G$2:$G$929,'Place Profiles'!$G$2:$G$929&lt;&gt;""),
_xlpm.counts,COUNTIFS('Raw Data'!$G$2:$G$501,_xlpm.t,'Raw Data'!$F$2:$F$501,_xlpm.cands),
_xlpm.mx,MAX(_xlpm.counts),
IF(_xlpm.mx=0,0,_xlfn.TEXTJOIN(" / ",TRUE,_xlfn._xlws.FILTER(_xlpm.cands,_xlpm.counts=_xlpm.mx)))
)</f>
        <v>0</v>
      </c>
      <c r="I444" t="str">
        <f>_xlfn.XLOOKUP(H444,'Place Profiles'!A:A,'Place Profiles'!B:B,"0")</f>
        <v>0</v>
      </c>
      <c r="J444" t="str">
        <f>_xlfn.XLOOKUP(H444,'Place Profiles'!A:A,'Place Profiles'!C:C,"0")</f>
        <v>0</v>
      </c>
    </row>
    <row r="445" spans="1:10" x14ac:dyDescent="0.45">
      <c r="A445" t="str">
        <v>ID_00444</v>
      </c>
      <c r="B445" t="str">
        <v>1619/06/26</v>
      </c>
      <c r="C445" t="str">
        <v>Siena</v>
      </c>
      <c r="D445" s="10">
        <f>_xlfn.XLOOKUP(C445,'Place Profiles'!A:A,'Place Profiles'!B:B,"0")</f>
        <v>43.3184768539152</v>
      </c>
      <c r="E445" s="10">
        <f>_xlfn.XLOOKUP(C445,'Place Profiles'!A:A,'Place Profiles'!C:C,"0")</f>
        <v>11.3310792700061</v>
      </c>
      <c r="F445" t="str">
        <v>Leoncini, Rocco</v>
      </c>
      <c r="G445" t="str">
        <v>von Habsburg, Maria Magdalena</v>
      </c>
      <c r="H445" t="str" cm="1">
        <f t="array" ref="H445">_xlfn.LET(
_xlpm.t,$G445,
_xlpm.cands,_xlfn._xlws.FILTER('Place Profiles'!$G$2:$G$929,'Place Profiles'!$G$2:$G$929&lt;&gt;""),
_xlpm.counts,COUNTIFS('Raw Data'!$G$2:$G$501,_xlpm.t,'Raw Data'!$F$2:$F$501,_xlpm.cands),
_xlpm.mx,MAX(_xlpm.counts),
IF(_xlpm.mx=0,0,_xlfn.TEXTJOIN(" / ",TRUE,_xlfn._xlws.FILTER(_xlpm.cands,_xlpm.counts=_xlpm.mx)))
)</f>
        <v>Firenze/Fiorenza</v>
      </c>
      <c r="I445">
        <f>_xlfn.XLOOKUP(H445,'Place Profiles'!A:A,'Place Profiles'!B:B,"0")</f>
        <v>43.773821664204803</v>
      </c>
      <c r="J445">
        <f>_xlfn.XLOOKUP(H445,'Place Profiles'!A:A,'Place Profiles'!C:C,"0")</f>
        <v>11.2555362617661</v>
      </c>
    </row>
    <row r="446" spans="1:10" x14ac:dyDescent="0.45">
      <c r="A446" t="str">
        <v>ID_00445</v>
      </c>
      <c r="B446" t="str">
        <v>1619/07/07</v>
      </c>
      <c r="C446" t="str">
        <v>Siena</v>
      </c>
      <c r="D446" s="10">
        <f>_xlfn.XLOOKUP(C446,'Place Profiles'!A:A,'Place Profiles'!B:B,"0")</f>
        <v>43.3184768539152</v>
      </c>
      <c r="E446" s="10">
        <f>_xlfn.XLOOKUP(C446,'Place Profiles'!A:A,'Place Profiles'!C:C,"0")</f>
        <v>11.3310792700061</v>
      </c>
      <c r="F446" t="str">
        <v>Viarano, Antonio</v>
      </c>
      <c r="G446" t="str">
        <v>von Habsburg, Maria Magdalena</v>
      </c>
      <c r="H446" t="str" cm="1">
        <f t="array" ref="H446">_xlfn.LET(
_xlpm.t,$G446,
_xlpm.cands,_xlfn._xlws.FILTER('Place Profiles'!$G$2:$G$929,'Place Profiles'!$G$2:$G$929&lt;&gt;""),
_xlpm.counts,COUNTIFS('Raw Data'!$G$2:$G$501,_xlpm.t,'Raw Data'!$F$2:$F$501,_xlpm.cands),
_xlpm.mx,MAX(_xlpm.counts),
IF(_xlpm.mx=0,0,_xlfn.TEXTJOIN(" / ",TRUE,_xlfn._xlws.FILTER(_xlpm.cands,_xlpm.counts=_xlpm.mx)))
)</f>
        <v>Firenze/Fiorenza</v>
      </c>
      <c r="I446">
        <f>_xlfn.XLOOKUP(H446,'Place Profiles'!A:A,'Place Profiles'!B:B,"0")</f>
        <v>43.773821664204803</v>
      </c>
      <c r="J446">
        <f>_xlfn.XLOOKUP(H446,'Place Profiles'!A:A,'Place Profiles'!C:C,"0")</f>
        <v>11.2555362617661</v>
      </c>
    </row>
    <row r="447" spans="1:10" x14ac:dyDescent="0.45">
      <c r="A447" t="str">
        <v>ID_00446</v>
      </c>
      <c r="B447" t="str">
        <v>1623/02/12</v>
      </c>
      <c r="C447" t="str">
        <v>Siena</v>
      </c>
      <c r="D447" s="10">
        <f>_xlfn.XLOOKUP(C447,'Place Profiles'!A:A,'Place Profiles'!B:B,"0")</f>
        <v>43.3184768539152</v>
      </c>
      <c r="E447" s="10">
        <f>_xlfn.XLOOKUP(C447,'Place Profiles'!A:A,'Place Profiles'!C:C,"0")</f>
        <v>11.3310792700061</v>
      </c>
      <c r="F447" t="str">
        <v>Ghezzi, Modesto</v>
      </c>
      <c r="G447" t="str">
        <v>de' Medici, Ferdinando II</v>
      </c>
      <c r="H447" cm="1">
        <f t="array" ref="H447">_xlfn.LET(
_xlpm.t,$G447,
_xlpm.cands,_xlfn._xlws.FILTER('Place Profiles'!$G$2:$G$929,'Place Profiles'!$G$2:$G$929&lt;&gt;""),
_xlpm.counts,COUNTIFS('Raw Data'!$G$2:$G$501,_xlpm.t,'Raw Data'!$F$2:$F$501,_xlpm.cands),
_xlpm.mx,MAX(_xlpm.counts),
IF(_xlpm.mx=0,0,_xlfn.TEXTJOIN(" / ",TRUE,_xlfn._xlws.FILTER(_xlpm.cands,_xlpm.counts=_xlpm.mx)))
)</f>
        <v>0</v>
      </c>
      <c r="I447" t="str">
        <f>_xlfn.XLOOKUP(H447,'Place Profiles'!A:A,'Place Profiles'!B:B,"0")</f>
        <v>0</v>
      </c>
      <c r="J447" t="str">
        <f>_xlfn.XLOOKUP(H447,'Place Profiles'!A:A,'Place Profiles'!C:C,"0")</f>
        <v>0</v>
      </c>
    </row>
    <row r="448" spans="1:10" x14ac:dyDescent="0.45">
      <c r="A448" t="str">
        <v>ID_00447</v>
      </c>
      <c r="B448" t="str">
        <v>1627/08/17</v>
      </c>
      <c r="C448" t="str">
        <v>Siena</v>
      </c>
      <c r="D448" s="10">
        <f>_xlfn.XLOOKUP(C448,'Place Profiles'!A:A,'Place Profiles'!B:B,"0")</f>
        <v>43.3184768539152</v>
      </c>
      <c r="E448" s="10">
        <f>_xlfn.XLOOKUP(C448,'Place Profiles'!A:A,'Place Profiles'!C:C,"0")</f>
        <v>11.3310792700061</v>
      </c>
      <c r="F448" t="str">
        <v>de' Medici, Caterina</v>
      </c>
      <c r="G448" t="str">
        <v>de' Medici, Ferdinando II</v>
      </c>
      <c r="H448" cm="1">
        <f t="array" ref="H448">_xlfn.LET(
_xlpm.t,$G448,
_xlpm.cands,_xlfn._xlws.FILTER('Place Profiles'!$G$2:$G$929,'Place Profiles'!$G$2:$G$929&lt;&gt;""),
_xlpm.counts,COUNTIFS('Raw Data'!$G$2:$G$501,_xlpm.t,'Raw Data'!$F$2:$F$501,_xlpm.cands),
_xlpm.mx,MAX(_xlpm.counts),
IF(_xlpm.mx=0,0,_xlfn.TEXTJOIN(" / ",TRUE,_xlfn._xlws.FILTER(_xlpm.cands,_xlpm.counts=_xlpm.mx)))
)</f>
        <v>0</v>
      </c>
      <c r="I448" t="str">
        <f>_xlfn.XLOOKUP(H448,'Place Profiles'!A:A,'Place Profiles'!B:B,"0")</f>
        <v>0</v>
      </c>
      <c r="J448" t="str">
        <f>_xlfn.XLOOKUP(H448,'Place Profiles'!A:A,'Place Profiles'!C:C,"0")</f>
        <v>0</v>
      </c>
    </row>
    <row r="449" spans="1:10" x14ac:dyDescent="0.45">
      <c r="A449" t="str">
        <v>ID_00448</v>
      </c>
      <c r="B449" t="str">
        <v>1619/07/08</v>
      </c>
      <c r="C449" t="str">
        <v>Siena</v>
      </c>
      <c r="D449" s="10">
        <f>_xlfn.XLOOKUP(C449,'Place Profiles'!A:A,'Place Profiles'!B:B,"0")</f>
        <v>43.3184768539152</v>
      </c>
      <c r="E449" s="10">
        <f>_xlfn.XLOOKUP(C449,'Place Profiles'!A:A,'Place Profiles'!C:C,"0")</f>
        <v>11.3310792700061</v>
      </c>
      <c r="F449" t="str">
        <v>Leoncini, Rocco</v>
      </c>
      <c r="G449" t="str">
        <v>von Habsburg, Maria Magdalena</v>
      </c>
      <c r="H449" t="str" cm="1">
        <f t="array" ref="H449">_xlfn.LET(
_xlpm.t,$G449,
_xlpm.cands,_xlfn._xlws.FILTER('Place Profiles'!$G$2:$G$929,'Place Profiles'!$G$2:$G$929&lt;&gt;""),
_xlpm.counts,COUNTIFS('Raw Data'!$G$2:$G$501,_xlpm.t,'Raw Data'!$F$2:$F$501,_xlpm.cands),
_xlpm.mx,MAX(_xlpm.counts),
IF(_xlpm.mx=0,0,_xlfn.TEXTJOIN(" / ",TRUE,_xlfn._xlws.FILTER(_xlpm.cands,_xlpm.counts=_xlpm.mx)))
)</f>
        <v>Firenze/Fiorenza</v>
      </c>
      <c r="I449">
        <f>_xlfn.XLOOKUP(H449,'Place Profiles'!A:A,'Place Profiles'!B:B,"0")</f>
        <v>43.773821664204803</v>
      </c>
      <c r="J449">
        <f>_xlfn.XLOOKUP(H449,'Place Profiles'!A:A,'Place Profiles'!C:C,"0")</f>
        <v>11.2555362617661</v>
      </c>
    </row>
    <row r="450" spans="1:10" x14ac:dyDescent="0.45">
      <c r="A450" t="str">
        <v>ID_00449</v>
      </c>
      <c r="B450" t="str">
        <v>1619/07/10</v>
      </c>
      <c r="C450" t="str">
        <v>Siena</v>
      </c>
      <c r="D450" s="10">
        <f>_xlfn.XLOOKUP(C450,'Place Profiles'!A:A,'Place Profiles'!B:B,"0")</f>
        <v>43.3184768539152</v>
      </c>
      <c r="E450" s="10">
        <f>_xlfn.XLOOKUP(C450,'Place Profiles'!A:A,'Place Profiles'!C:C,"0")</f>
        <v>11.3310792700061</v>
      </c>
      <c r="F450" t="str">
        <v>Curini, Bartolomeo</v>
      </c>
      <c r="G450" t="str">
        <v>von Habsburg, Maria Magdalena</v>
      </c>
      <c r="H450" t="str" cm="1">
        <f t="array" ref="H450">_xlfn.LET(
_xlpm.t,$G450,
_xlpm.cands,_xlfn._xlws.FILTER('Place Profiles'!$G$2:$G$929,'Place Profiles'!$G$2:$G$929&lt;&gt;""),
_xlpm.counts,COUNTIFS('Raw Data'!$G$2:$G$501,_xlpm.t,'Raw Data'!$F$2:$F$501,_xlpm.cands),
_xlpm.mx,MAX(_xlpm.counts),
IF(_xlpm.mx=0,0,_xlfn.TEXTJOIN(" / ",TRUE,_xlfn._xlws.FILTER(_xlpm.cands,_xlpm.counts=_xlpm.mx)))
)</f>
        <v>Firenze/Fiorenza</v>
      </c>
      <c r="I450">
        <f>_xlfn.XLOOKUP(H450,'Place Profiles'!A:A,'Place Profiles'!B:B,"0")</f>
        <v>43.773821664204803</v>
      </c>
      <c r="J450">
        <f>_xlfn.XLOOKUP(H450,'Place Profiles'!A:A,'Place Profiles'!C:C,"0")</f>
        <v>11.2555362617661</v>
      </c>
    </row>
    <row r="451" spans="1:10" x14ac:dyDescent="0.45">
      <c r="A451" t="str">
        <v>ID_00450</v>
      </c>
      <c r="B451" t="str">
        <v>1619/08/19</v>
      </c>
      <c r="C451" t="str">
        <v>Siena</v>
      </c>
      <c r="D451" s="10">
        <f>_xlfn.XLOOKUP(C451,'Place Profiles'!A:A,'Place Profiles'!B:B,"0")</f>
        <v>43.3184768539152</v>
      </c>
      <c r="E451" s="10">
        <f>_xlfn.XLOOKUP(C451,'Place Profiles'!A:A,'Place Profiles'!C:C,"0")</f>
        <v>11.3310792700061</v>
      </c>
      <c r="F451" t="str">
        <v>Benngucci, Flamminio</v>
      </c>
      <c r="G451" t="str">
        <v>de' Medici, Cosimo II</v>
      </c>
      <c r="H451" cm="1">
        <f t="array" ref="H451">_xlfn.LET(
_xlpm.t,$G451,
_xlpm.cands,_xlfn._xlws.FILTER('Place Profiles'!$G$2:$G$929,'Place Profiles'!$G$2:$G$929&lt;&gt;""),
_xlpm.counts,COUNTIFS('Raw Data'!$G$2:$G$501,_xlpm.t,'Raw Data'!$F$2:$F$501,_xlpm.cands),
_xlpm.mx,MAX(_xlpm.counts),
IF(_xlpm.mx=0,0,_xlfn.TEXTJOIN(" / ",TRUE,_xlfn._xlws.FILTER(_xlpm.cands,_xlpm.counts=_xlpm.mx)))
)</f>
        <v>0</v>
      </c>
      <c r="I451" t="str">
        <f>_xlfn.XLOOKUP(H451,'Place Profiles'!A:A,'Place Profiles'!B:B,"0")</f>
        <v>0</v>
      </c>
      <c r="J451" t="str">
        <f>_xlfn.XLOOKUP(H451,'Place Profiles'!A:A,'Place Profiles'!C:C,"0")</f>
        <v>0</v>
      </c>
    </row>
    <row r="452" spans="1:10" x14ac:dyDescent="0.45">
      <c r="A452" t="str">
        <v>ID_00451</v>
      </c>
      <c r="B452" t="str">
        <v>1619/08/20</v>
      </c>
      <c r="C452" t="str">
        <v>Siena</v>
      </c>
      <c r="D452" s="10">
        <f>_xlfn.XLOOKUP(C452,'Place Profiles'!A:A,'Place Profiles'!B:B,"0")</f>
        <v>43.3184768539152</v>
      </c>
      <c r="E452" s="10">
        <f>_xlfn.XLOOKUP(C452,'Place Profiles'!A:A,'Place Profiles'!C:C,"0")</f>
        <v>11.3310792700061</v>
      </c>
      <c r="F452" t="str">
        <v>Leoncini, Rocco</v>
      </c>
      <c r="G452" t="str">
        <v>von Habsburg, Maria Magdalena</v>
      </c>
      <c r="H452" t="str" cm="1">
        <f t="array" ref="H452">_xlfn.LET(
_xlpm.t,$G452,
_xlpm.cands,_xlfn._xlws.FILTER('Place Profiles'!$G$2:$G$929,'Place Profiles'!$G$2:$G$929&lt;&gt;""),
_xlpm.counts,COUNTIFS('Raw Data'!$G$2:$G$501,_xlpm.t,'Raw Data'!$F$2:$F$501,_xlpm.cands),
_xlpm.mx,MAX(_xlpm.counts),
IF(_xlpm.mx=0,0,_xlfn.TEXTJOIN(" / ",TRUE,_xlfn._xlws.FILTER(_xlpm.cands,_xlpm.counts=_xlpm.mx)))
)</f>
        <v>Firenze/Fiorenza</v>
      </c>
      <c r="I452">
        <f>_xlfn.XLOOKUP(H452,'Place Profiles'!A:A,'Place Profiles'!B:B,"0")</f>
        <v>43.773821664204803</v>
      </c>
      <c r="J452">
        <f>_xlfn.XLOOKUP(H452,'Place Profiles'!A:A,'Place Profiles'!C:C,"0")</f>
        <v>11.2555362617661</v>
      </c>
    </row>
    <row r="453" spans="1:10" x14ac:dyDescent="0.45">
      <c r="A453" t="str">
        <v>ID_00452</v>
      </c>
      <c r="B453" t="str">
        <v>1619/08/26</v>
      </c>
      <c r="C453" t="str">
        <v>Siena</v>
      </c>
      <c r="D453" s="10">
        <f>_xlfn.XLOOKUP(C453,'Place Profiles'!A:A,'Place Profiles'!B:B,"0")</f>
        <v>43.3184768539152</v>
      </c>
      <c r="E453" s="10">
        <f>_xlfn.XLOOKUP(C453,'Place Profiles'!A:A,'Place Profiles'!C:C,"0")</f>
        <v>11.3310792700061</v>
      </c>
      <c r="F453" t="str">
        <v>Malvezzi, Peritio</v>
      </c>
      <c r="G453" t="str">
        <v>de' Medici, Cosimo II</v>
      </c>
      <c r="H453" cm="1">
        <f t="array" ref="H453">_xlfn.LET(
_xlpm.t,$G453,
_xlpm.cands,_xlfn._xlws.FILTER('Place Profiles'!$G$2:$G$929,'Place Profiles'!$G$2:$G$929&lt;&gt;""),
_xlpm.counts,COUNTIFS('Raw Data'!$G$2:$G$501,_xlpm.t,'Raw Data'!$F$2:$F$501,_xlpm.cands),
_xlpm.mx,MAX(_xlpm.counts),
IF(_xlpm.mx=0,0,_xlfn.TEXTJOIN(" / ",TRUE,_xlfn._xlws.FILTER(_xlpm.cands,_xlpm.counts=_xlpm.mx)))
)</f>
        <v>0</v>
      </c>
      <c r="I453" t="str">
        <f>_xlfn.XLOOKUP(H453,'Place Profiles'!A:A,'Place Profiles'!B:B,"0")</f>
        <v>0</v>
      </c>
      <c r="J453" t="str">
        <f>_xlfn.XLOOKUP(H453,'Place Profiles'!A:A,'Place Profiles'!C:C,"0")</f>
        <v>0</v>
      </c>
    </row>
    <row r="454" spans="1:10" x14ac:dyDescent="0.45">
      <c r="A454" t="str">
        <v>ID_00453</v>
      </c>
      <c r="B454" t="str">
        <v>1619/08/26</v>
      </c>
      <c r="C454" t="str">
        <v>Siena</v>
      </c>
      <c r="D454" s="10">
        <f>_xlfn.XLOOKUP(C454,'Place Profiles'!A:A,'Place Profiles'!B:B,"0")</f>
        <v>43.3184768539152</v>
      </c>
      <c r="E454" s="10">
        <f>_xlfn.XLOOKUP(C454,'Place Profiles'!A:A,'Place Profiles'!C:C,"0")</f>
        <v>11.3310792700061</v>
      </c>
      <c r="F454" t="str">
        <v>Riccardi, Livio</v>
      </c>
      <c r="G454" t="str">
        <v>von Habsburg, Maria Magdalena</v>
      </c>
      <c r="H454" t="str" cm="1">
        <f t="array" ref="H454">_xlfn.LET(
_xlpm.t,$G454,
_xlpm.cands,_xlfn._xlws.FILTER('Place Profiles'!$G$2:$G$929,'Place Profiles'!$G$2:$G$929&lt;&gt;""),
_xlpm.counts,COUNTIFS('Raw Data'!$G$2:$G$501,_xlpm.t,'Raw Data'!$F$2:$F$501,_xlpm.cands),
_xlpm.mx,MAX(_xlpm.counts),
IF(_xlpm.mx=0,0,_xlfn.TEXTJOIN(" / ",TRUE,_xlfn._xlws.FILTER(_xlpm.cands,_xlpm.counts=_xlpm.mx)))
)</f>
        <v>Firenze/Fiorenza</v>
      </c>
      <c r="I454">
        <f>_xlfn.XLOOKUP(H454,'Place Profiles'!A:A,'Place Profiles'!B:B,"0")</f>
        <v>43.773821664204803</v>
      </c>
      <c r="J454">
        <f>_xlfn.XLOOKUP(H454,'Place Profiles'!A:A,'Place Profiles'!C:C,"0")</f>
        <v>11.2555362617661</v>
      </c>
    </row>
    <row r="455" spans="1:10" x14ac:dyDescent="0.45">
      <c r="A455" t="str">
        <v>ID_00454</v>
      </c>
      <c r="B455" t="str">
        <v>1619/09/09</v>
      </c>
      <c r="C455" t="str">
        <v>Siena</v>
      </c>
      <c r="D455" s="10">
        <f>_xlfn.XLOOKUP(C455,'Place Profiles'!A:A,'Place Profiles'!B:B,"0")</f>
        <v>43.3184768539152</v>
      </c>
      <c r="E455" s="10">
        <f>_xlfn.XLOOKUP(C455,'Place Profiles'!A:A,'Place Profiles'!C:C,"0")</f>
        <v>11.3310792700061</v>
      </c>
      <c r="F455" t="str">
        <v>Malvezzi, Peritio</v>
      </c>
      <c r="G455" t="str">
        <v>von Habsburg, Maria Magdalena</v>
      </c>
      <c r="H455" t="str" cm="1">
        <f t="array" ref="H455">_xlfn.LET(
_xlpm.t,$G455,
_xlpm.cands,_xlfn._xlws.FILTER('Place Profiles'!$G$2:$G$929,'Place Profiles'!$G$2:$G$929&lt;&gt;""),
_xlpm.counts,COUNTIFS('Raw Data'!$G$2:$G$501,_xlpm.t,'Raw Data'!$F$2:$F$501,_xlpm.cands),
_xlpm.mx,MAX(_xlpm.counts),
IF(_xlpm.mx=0,0,_xlfn.TEXTJOIN(" / ",TRUE,_xlfn._xlws.FILTER(_xlpm.cands,_xlpm.counts=_xlpm.mx)))
)</f>
        <v>Firenze/Fiorenza</v>
      </c>
      <c r="I455">
        <f>_xlfn.XLOOKUP(H455,'Place Profiles'!A:A,'Place Profiles'!B:B,"0")</f>
        <v>43.773821664204803</v>
      </c>
      <c r="J455">
        <f>_xlfn.XLOOKUP(H455,'Place Profiles'!A:A,'Place Profiles'!C:C,"0")</f>
        <v>11.2555362617661</v>
      </c>
    </row>
    <row r="456" spans="1:10" x14ac:dyDescent="0.45">
      <c r="A456" t="str">
        <v>ID_00455</v>
      </c>
      <c r="B456" t="str">
        <v>1619/09/10</v>
      </c>
      <c r="C456" t="str">
        <v>Siena</v>
      </c>
      <c r="D456" s="10">
        <f>_xlfn.XLOOKUP(C456,'Place Profiles'!A:A,'Place Profiles'!B:B,"0")</f>
        <v>43.3184768539152</v>
      </c>
      <c r="E456" s="10">
        <f>_xlfn.XLOOKUP(C456,'Place Profiles'!A:A,'Place Profiles'!C:C,"0")</f>
        <v>11.3310792700061</v>
      </c>
      <c r="F456" t="str">
        <v>Riccardi, Livio</v>
      </c>
      <c r="G456" t="str">
        <v>von Habsburg, Maria Magdalena</v>
      </c>
      <c r="H456" t="str" cm="1">
        <f t="array" ref="H456">_xlfn.LET(
_xlpm.t,$G456,
_xlpm.cands,_xlfn._xlws.FILTER('Place Profiles'!$G$2:$G$929,'Place Profiles'!$G$2:$G$929&lt;&gt;""),
_xlpm.counts,COUNTIFS('Raw Data'!$G$2:$G$501,_xlpm.t,'Raw Data'!$F$2:$F$501,_xlpm.cands),
_xlpm.mx,MAX(_xlpm.counts),
IF(_xlpm.mx=0,0,_xlfn.TEXTJOIN(" / ",TRUE,_xlfn._xlws.FILTER(_xlpm.cands,_xlpm.counts=_xlpm.mx)))
)</f>
        <v>Firenze/Fiorenza</v>
      </c>
      <c r="I456">
        <f>_xlfn.XLOOKUP(H456,'Place Profiles'!A:A,'Place Profiles'!B:B,"0")</f>
        <v>43.773821664204803</v>
      </c>
      <c r="J456">
        <f>_xlfn.XLOOKUP(H456,'Place Profiles'!A:A,'Place Profiles'!C:C,"0")</f>
        <v>11.2555362617661</v>
      </c>
    </row>
    <row r="457" spans="1:10" x14ac:dyDescent="0.45">
      <c r="A457" t="str">
        <v>ID_00456</v>
      </c>
      <c r="B457" t="str">
        <v>1619/09/20</v>
      </c>
      <c r="C457" t="str">
        <v>Siena</v>
      </c>
      <c r="D457" s="10">
        <f>_xlfn.XLOOKUP(C457,'Place Profiles'!A:A,'Place Profiles'!B:B,"0")</f>
        <v>43.3184768539152</v>
      </c>
      <c r="E457" s="10">
        <f>_xlfn.XLOOKUP(C457,'Place Profiles'!A:A,'Place Profiles'!C:C,"0")</f>
        <v>11.3310792700061</v>
      </c>
      <c r="F457" t="str">
        <v>?, Alcibiade</v>
      </c>
      <c r="G457" t="str">
        <v>von Habsburg, Maria Magdalena</v>
      </c>
      <c r="H457" t="str" cm="1">
        <f t="array" ref="H457">_xlfn.LET(
_xlpm.t,$G457,
_xlpm.cands,_xlfn._xlws.FILTER('Place Profiles'!$G$2:$G$929,'Place Profiles'!$G$2:$G$929&lt;&gt;""),
_xlpm.counts,COUNTIFS('Raw Data'!$G$2:$G$501,_xlpm.t,'Raw Data'!$F$2:$F$501,_xlpm.cands),
_xlpm.mx,MAX(_xlpm.counts),
IF(_xlpm.mx=0,0,_xlfn.TEXTJOIN(" / ",TRUE,_xlfn._xlws.FILTER(_xlpm.cands,_xlpm.counts=_xlpm.mx)))
)</f>
        <v>Firenze/Fiorenza</v>
      </c>
      <c r="I457">
        <f>_xlfn.XLOOKUP(H457,'Place Profiles'!A:A,'Place Profiles'!B:B,"0")</f>
        <v>43.773821664204803</v>
      </c>
      <c r="J457">
        <f>_xlfn.XLOOKUP(H457,'Place Profiles'!A:A,'Place Profiles'!C:C,"0")</f>
        <v>11.2555362617661</v>
      </c>
    </row>
    <row r="458" spans="1:10" x14ac:dyDescent="0.45">
      <c r="A458" t="str">
        <v>ID_00457</v>
      </c>
      <c r="B458" t="str">
        <v>1623/03/15</v>
      </c>
      <c r="C458" t="str">
        <v>Siena</v>
      </c>
      <c r="D458" s="10">
        <f>_xlfn.XLOOKUP(C458,'Place Profiles'!A:A,'Place Profiles'!B:B,"0")</f>
        <v>43.3184768539152</v>
      </c>
      <c r="E458" s="10">
        <f>_xlfn.XLOOKUP(C458,'Place Profiles'!A:A,'Place Profiles'!C:C,"0")</f>
        <v>11.3310792700061</v>
      </c>
      <c r="F458" t="str">
        <v>Colomba</v>
      </c>
      <c r="G458" t="str">
        <v>von Habsburg, Maria Magdalena</v>
      </c>
      <c r="H458" t="str" cm="1">
        <f t="array" ref="H458">_xlfn.LET(
_xlpm.t,$G458,
_xlpm.cands,_xlfn._xlws.FILTER('Place Profiles'!$G$2:$G$929,'Place Profiles'!$G$2:$G$929&lt;&gt;""),
_xlpm.counts,COUNTIFS('Raw Data'!$G$2:$G$501,_xlpm.t,'Raw Data'!$F$2:$F$501,_xlpm.cands),
_xlpm.mx,MAX(_xlpm.counts),
IF(_xlpm.mx=0,0,_xlfn.TEXTJOIN(" / ",TRUE,_xlfn._xlws.FILTER(_xlpm.cands,_xlpm.counts=_xlpm.mx)))
)</f>
        <v>Firenze/Fiorenza</v>
      </c>
      <c r="I458">
        <f>_xlfn.XLOOKUP(H458,'Place Profiles'!A:A,'Place Profiles'!B:B,"0")</f>
        <v>43.773821664204803</v>
      </c>
      <c r="J458">
        <f>_xlfn.XLOOKUP(H458,'Place Profiles'!A:A,'Place Profiles'!C:C,"0")</f>
        <v>11.2555362617661</v>
      </c>
    </row>
    <row r="459" spans="1:10" x14ac:dyDescent="0.45">
      <c r="A459" t="str">
        <v>ID_00458</v>
      </c>
      <c r="B459" t="str">
        <v>1627/08/22</v>
      </c>
      <c r="C459" t="str">
        <v>Siena</v>
      </c>
      <c r="D459" s="10">
        <f>_xlfn.XLOOKUP(C459,'Place Profiles'!A:A,'Place Profiles'!B:B,"0")</f>
        <v>43.3184768539152</v>
      </c>
      <c r="E459" s="10">
        <f>_xlfn.XLOOKUP(C459,'Place Profiles'!A:A,'Place Profiles'!C:C,"0")</f>
        <v>11.3310792700061</v>
      </c>
      <c r="F459" t="str">
        <v>de' Medici, Caterina</v>
      </c>
      <c r="G459" t="str">
        <v>Cioli, Andrea</v>
      </c>
      <c r="H459" cm="1">
        <f t="array" ref="H459">_xlfn.LET(
_xlpm.t,$G459,
_xlpm.cands,_xlfn._xlws.FILTER('Place Profiles'!$G$2:$G$929,'Place Profiles'!$G$2:$G$929&lt;&gt;""),
_xlpm.counts,COUNTIFS('Raw Data'!$G$2:$G$501,_xlpm.t,'Raw Data'!$F$2:$F$501,_xlpm.cands),
_xlpm.mx,MAX(_xlpm.counts),
IF(_xlpm.mx=0,0,_xlfn.TEXTJOIN(" / ",TRUE,_xlfn._xlws.FILTER(_xlpm.cands,_xlpm.counts=_xlpm.mx)))
)</f>
        <v>0</v>
      </c>
      <c r="I459" t="str">
        <f>_xlfn.XLOOKUP(H459,'Place Profiles'!A:A,'Place Profiles'!B:B,"0")</f>
        <v>0</v>
      </c>
      <c r="J459" t="str">
        <f>_xlfn.XLOOKUP(H459,'Place Profiles'!A:A,'Place Profiles'!C:C,"0")</f>
        <v>0</v>
      </c>
    </row>
    <row r="460" spans="1:10" x14ac:dyDescent="0.45">
      <c r="A460" t="str">
        <v>ID_00459</v>
      </c>
      <c r="B460" t="str">
        <v>1619/09/20</v>
      </c>
      <c r="C460" t="str">
        <v>Siena</v>
      </c>
      <c r="D460" s="10">
        <f>_xlfn.XLOOKUP(C460,'Place Profiles'!A:A,'Place Profiles'!B:B,"0")</f>
        <v>43.3184768539152</v>
      </c>
      <c r="E460" s="10">
        <f>_xlfn.XLOOKUP(C460,'Place Profiles'!A:A,'Place Profiles'!C:C,"0")</f>
        <v>11.3310792700061</v>
      </c>
      <c r="F460" t="str">
        <v>Pallagrossa, Pietro</v>
      </c>
      <c r="G460" t="str">
        <v>de' Medici, Ferdinando II</v>
      </c>
      <c r="H460" cm="1">
        <f t="array" ref="H460">_xlfn.LET(
_xlpm.t,$G460,
_xlpm.cands,_xlfn._xlws.FILTER('Place Profiles'!$G$2:$G$929,'Place Profiles'!$G$2:$G$929&lt;&gt;""),
_xlpm.counts,COUNTIFS('Raw Data'!$G$2:$G$501,_xlpm.t,'Raw Data'!$F$2:$F$501,_xlpm.cands),
_xlpm.mx,MAX(_xlpm.counts),
IF(_xlpm.mx=0,0,_xlfn.TEXTJOIN(" / ",TRUE,_xlfn._xlws.FILTER(_xlpm.cands,_xlpm.counts=_xlpm.mx)))
)</f>
        <v>0</v>
      </c>
      <c r="I460" t="str">
        <f>_xlfn.XLOOKUP(H460,'Place Profiles'!A:A,'Place Profiles'!B:B,"0")</f>
        <v>0</v>
      </c>
      <c r="J460" t="str">
        <f>_xlfn.XLOOKUP(H460,'Place Profiles'!A:A,'Place Profiles'!C:C,"0")</f>
        <v>0</v>
      </c>
    </row>
    <row r="461" spans="1:10" x14ac:dyDescent="0.45">
      <c r="A461" t="str">
        <v>ID_00460</v>
      </c>
      <c r="B461" t="str">
        <v>1619/09/20</v>
      </c>
      <c r="C461" t="str">
        <v>Siena</v>
      </c>
      <c r="D461" s="10">
        <f>_xlfn.XLOOKUP(C461,'Place Profiles'!A:A,'Place Profiles'!B:B,"0")</f>
        <v>43.3184768539152</v>
      </c>
      <c r="E461" s="10">
        <f>_xlfn.XLOOKUP(C461,'Place Profiles'!A:A,'Place Profiles'!C:C,"0")</f>
        <v>11.3310792700061</v>
      </c>
      <c r="F461" t="str">
        <v>Pallagrossa, Pietro</v>
      </c>
      <c r="G461" t="str">
        <v>von Habsburg, Maria Magdalena</v>
      </c>
      <c r="H461" t="str" cm="1">
        <f t="array" ref="H461">_xlfn.LET(
_xlpm.t,$G461,
_xlpm.cands,_xlfn._xlws.FILTER('Place Profiles'!$G$2:$G$929,'Place Profiles'!$G$2:$G$929&lt;&gt;""),
_xlpm.counts,COUNTIFS('Raw Data'!$G$2:$G$501,_xlpm.t,'Raw Data'!$F$2:$F$501,_xlpm.cands),
_xlpm.mx,MAX(_xlpm.counts),
IF(_xlpm.mx=0,0,_xlfn.TEXTJOIN(" / ",TRUE,_xlfn._xlws.FILTER(_xlpm.cands,_xlpm.counts=_xlpm.mx)))
)</f>
        <v>Firenze/Fiorenza</v>
      </c>
      <c r="I461">
        <f>_xlfn.XLOOKUP(H461,'Place Profiles'!A:A,'Place Profiles'!B:B,"0")</f>
        <v>43.773821664204803</v>
      </c>
      <c r="J461">
        <f>_xlfn.XLOOKUP(H461,'Place Profiles'!A:A,'Place Profiles'!C:C,"0")</f>
        <v>11.2555362617661</v>
      </c>
    </row>
    <row r="462" spans="1:10" x14ac:dyDescent="0.45">
      <c r="A462" t="str">
        <v>ID_00461</v>
      </c>
      <c r="B462" t="str">
        <v>1619/09/20</v>
      </c>
      <c r="C462" t="str">
        <v>Siena</v>
      </c>
      <c r="D462" s="10">
        <f>_xlfn.XLOOKUP(C462,'Place Profiles'!A:A,'Place Profiles'!B:B,"0")</f>
        <v>43.3184768539152</v>
      </c>
      <c r="E462" s="10">
        <f>_xlfn.XLOOKUP(C462,'Place Profiles'!A:A,'Place Profiles'!C:C,"0")</f>
        <v>11.3310792700061</v>
      </c>
      <c r="F462" t="str">
        <v>Pallagrossa, Pietro</v>
      </c>
      <c r="G462" t="str">
        <v>de' Medici, Cosimo II</v>
      </c>
      <c r="H462" cm="1">
        <f t="array" ref="H462">_xlfn.LET(
_xlpm.t,$G462,
_xlpm.cands,_xlfn._xlws.FILTER('Place Profiles'!$G$2:$G$929,'Place Profiles'!$G$2:$G$929&lt;&gt;""),
_xlpm.counts,COUNTIFS('Raw Data'!$G$2:$G$501,_xlpm.t,'Raw Data'!$F$2:$F$501,_xlpm.cands),
_xlpm.mx,MAX(_xlpm.counts),
IF(_xlpm.mx=0,0,_xlfn.TEXTJOIN(" / ",TRUE,_xlfn._xlws.FILTER(_xlpm.cands,_xlpm.counts=_xlpm.mx)))
)</f>
        <v>0</v>
      </c>
      <c r="I462" t="str">
        <f>_xlfn.XLOOKUP(H462,'Place Profiles'!A:A,'Place Profiles'!B:B,"0")</f>
        <v>0</v>
      </c>
      <c r="J462" t="str">
        <f>_xlfn.XLOOKUP(H462,'Place Profiles'!A:A,'Place Profiles'!C:C,"0")</f>
        <v>0</v>
      </c>
    </row>
    <row r="463" spans="1:10" x14ac:dyDescent="0.45">
      <c r="A463" t="str">
        <v>ID_00462</v>
      </c>
      <c r="B463" t="str">
        <v>1619/09/30</v>
      </c>
      <c r="C463" t="str">
        <v>Siena</v>
      </c>
      <c r="D463" s="10">
        <f>_xlfn.XLOOKUP(C463,'Place Profiles'!A:A,'Place Profiles'!B:B,"0")</f>
        <v>43.3184768539152</v>
      </c>
      <c r="E463" s="10">
        <f>_xlfn.XLOOKUP(C463,'Place Profiles'!A:A,'Place Profiles'!C:C,"0")</f>
        <v>11.3310792700061</v>
      </c>
      <c r="F463" t="str">
        <v>Benngucci, Flamminio</v>
      </c>
      <c r="G463" t="str">
        <v>di Lorena, Cristina</v>
      </c>
      <c r="H463" t="str" cm="1">
        <f t="array" ref="H463">_xlfn.LET(
_xlpm.t,$G463,
_xlpm.cands,_xlfn._xlws.FILTER('Place Profiles'!$G$2:$G$929,'Place Profiles'!$G$2:$G$929&lt;&gt;""),
_xlpm.counts,COUNTIFS('Raw Data'!$G$2:$G$501,_xlpm.t,'Raw Data'!$F$2:$F$501,_xlpm.cands),
_xlpm.mx,MAX(_xlpm.counts),
IF(_xlpm.mx=0,0,_xlfn.TEXTJOIN(" / ",TRUE,_xlfn._xlws.FILTER(_xlpm.cands,_xlpm.counts=_xlpm.mx)))
)</f>
        <v>Firenze/Fiorenza</v>
      </c>
      <c r="I463">
        <f>_xlfn.XLOOKUP(H463,'Place Profiles'!A:A,'Place Profiles'!B:B,"0")</f>
        <v>43.773821664204803</v>
      </c>
      <c r="J463">
        <f>_xlfn.XLOOKUP(H463,'Place Profiles'!A:A,'Place Profiles'!C:C,"0")</f>
        <v>11.2555362617661</v>
      </c>
    </row>
    <row r="464" spans="1:10" x14ac:dyDescent="0.45">
      <c r="A464" t="str">
        <v>ID_00463</v>
      </c>
      <c r="B464" t="str">
        <v>1619/10/20</v>
      </c>
      <c r="C464" t="str">
        <v>Siena</v>
      </c>
      <c r="D464" s="10">
        <f>_xlfn.XLOOKUP(C464,'Place Profiles'!A:A,'Place Profiles'!B:B,"0")</f>
        <v>43.3184768539152</v>
      </c>
      <c r="E464" s="10">
        <f>_xlfn.XLOOKUP(C464,'Place Profiles'!A:A,'Place Profiles'!C:C,"0")</f>
        <v>11.3310792700061</v>
      </c>
      <c r="F464" t="str">
        <v>Malvezzi, Peritio</v>
      </c>
      <c r="G464" t="str">
        <v>von Habsburg, Maria Magdalena</v>
      </c>
      <c r="H464" t="str" cm="1">
        <f t="array" ref="H464">_xlfn.LET(
_xlpm.t,$G464,
_xlpm.cands,_xlfn._xlws.FILTER('Place Profiles'!$G$2:$G$929,'Place Profiles'!$G$2:$G$929&lt;&gt;""),
_xlpm.counts,COUNTIFS('Raw Data'!$G$2:$G$501,_xlpm.t,'Raw Data'!$F$2:$F$501,_xlpm.cands),
_xlpm.mx,MAX(_xlpm.counts),
IF(_xlpm.mx=0,0,_xlfn.TEXTJOIN(" / ",TRUE,_xlfn._xlws.FILTER(_xlpm.cands,_xlpm.counts=_xlpm.mx)))
)</f>
        <v>Firenze/Fiorenza</v>
      </c>
      <c r="I464">
        <f>_xlfn.XLOOKUP(H464,'Place Profiles'!A:A,'Place Profiles'!B:B,"0")</f>
        <v>43.773821664204803</v>
      </c>
      <c r="J464">
        <f>_xlfn.XLOOKUP(H464,'Place Profiles'!A:A,'Place Profiles'!C:C,"0")</f>
        <v>11.2555362617661</v>
      </c>
    </row>
    <row r="465" spans="1:10" x14ac:dyDescent="0.45">
      <c r="A465" t="str">
        <v>ID_00464</v>
      </c>
      <c r="B465" t="str">
        <v>1623/05/10</v>
      </c>
      <c r="C465" t="str">
        <v>Siena</v>
      </c>
      <c r="D465" s="10">
        <f>_xlfn.XLOOKUP(C465,'Place Profiles'!A:A,'Place Profiles'!B:B,"0")</f>
        <v>43.3184768539152</v>
      </c>
      <c r="E465" s="10">
        <f>_xlfn.XLOOKUP(C465,'Place Profiles'!A:A,'Place Profiles'!C:C,"0")</f>
        <v>11.3310792700061</v>
      </c>
      <c r="F465" t="str">
        <v>Colomba</v>
      </c>
      <c r="G465" t="str">
        <v>von Habsburg, Maria Magdalena</v>
      </c>
      <c r="H465" t="str" cm="1">
        <f t="array" ref="H465">_xlfn.LET(
_xlpm.t,$G465,
_xlpm.cands,_xlfn._xlws.FILTER('Place Profiles'!$G$2:$G$929,'Place Profiles'!$G$2:$G$929&lt;&gt;""),
_xlpm.counts,COUNTIFS('Raw Data'!$G$2:$G$501,_xlpm.t,'Raw Data'!$F$2:$F$501,_xlpm.cands),
_xlpm.mx,MAX(_xlpm.counts),
IF(_xlpm.mx=0,0,_xlfn.TEXTJOIN(" / ",TRUE,_xlfn._xlws.FILTER(_xlpm.cands,_xlpm.counts=_xlpm.mx)))
)</f>
        <v>Firenze/Fiorenza</v>
      </c>
      <c r="I465">
        <f>_xlfn.XLOOKUP(H465,'Place Profiles'!A:A,'Place Profiles'!B:B,"0")</f>
        <v>43.773821664204803</v>
      </c>
      <c r="J465">
        <f>_xlfn.XLOOKUP(H465,'Place Profiles'!A:A,'Place Profiles'!C:C,"0")</f>
        <v>11.2555362617661</v>
      </c>
    </row>
    <row r="466" spans="1:10" x14ac:dyDescent="0.45">
      <c r="A466" t="str">
        <v>ID_00465</v>
      </c>
      <c r="B466" t="str">
        <v>1619/10/28</v>
      </c>
      <c r="C466" t="str">
        <v>Siena</v>
      </c>
      <c r="D466" s="10">
        <f>_xlfn.XLOOKUP(C466,'Place Profiles'!A:A,'Place Profiles'!B:B,"0")</f>
        <v>43.3184768539152</v>
      </c>
      <c r="E466" s="10">
        <f>_xlfn.XLOOKUP(C466,'Place Profiles'!A:A,'Place Profiles'!C:C,"0")</f>
        <v>11.3310792700061</v>
      </c>
      <c r="F466" t="str">
        <v>Riccardi, Livio</v>
      </c>
      <c r="G466" t="str">
        <v>von Habsburg, Maria Magdalena</v>
      </c>
      <c r="H466" t="str" cm="1">
        <f t="array" ref="H466">_xlfn.LET(
_xlpm.t,$G466,
_xlpm.cands,_xlfn._xlws.FILTER('Place Profiles'!$G$2:$G$929,'Place Profiles'!$G$2:$G$929&lt;&gt;""),
_xlpm.counts,COUNTIFS('Raw Data'!$G$2:$G$501,_xlpm.t,'Raw Data'!$F$2:$F$501,_xlpm.cands),
_xlpm.mx,MAX(_xlpm.counts),
IF(_xlpm.mx=0,0,_xlfn.TEXTJOIN(" / ",TRUE,_xlfn._xlws.FILTER(_xlpm.cands,_xlpm.counts=_xlpm.mx)))
)</f>
        <v>Firenze/Fiorenza</v>
      </c>
      <c r="I466">
        <f>_xlfn.XLOOKUP(H466,'Place Profiles'!A:A,'Place Profiles'!B:B,"0")</f>
        <v>43.773821664204803</v>
      </c>
      <c r="J466">
        <f>_xlfn.XLOOKUP(H466,'Place Profiles'!A:A,'Place Profiles'!C:C,"0")</f>
        <v>11.2555362617661</v>
      </c>
    </row>
    <row r="467" spans="1:10" x14ac:dyDescent="0.45">
      <c r="A467" t="str">
        <v>ID_00466</v>
      </c>
      <c r="B467" t="str">
        <v>1619/11/03</v>
      </c>
      <c r="C467" t="str">
        <v>Guglio</v>
      </c>
      <c r="D467" s="10">
        <f>_xlfn.XLOOKUP(C467,'Place Profiles'!A:A,'Place Profiles'!B:B,"0")</f>
        <v>42.360515010118696</v>
      </c>
      <c r="E467" s="10">
        <f>_xlfn.XLOOKUP(C467,'Place Profiles'!A:A,'Place Profiles'!C:C,"0")</f>
        <v>10.901170501753599</v>
      </c>
      <c r="F467" t="str">
        <v>Unnamed</v>
      </c>
      <c r="G467" t="str">
        <v>de' Medici, Cosimo II</v>
      </c>
      <c r="H467" cm="1">
        <f t="array" ref="H467">_xlfn.LET(
_xlpm.t,$G467,
_xlpm.cands,_xlfn._xlws.FILTER('Place Profiles'!$G$2:$G$929,'Place Profiles'!$G$2:$G$929&lt;&gt;""),
_xlpm.counts,COUNTIFS('Raw Data'!$G$2:$G$501,_xlpm.t,'Raw Data'!$F$2:$F$501,_xlpm.cands),
_xlpm.mx,MAX(_xlpm.counts),
IF(_xlpm.mx=0,0,_xlfn.TEXTJOIN(" / ",TRUE,_xlfn._xlws.FILTER(_xlpm.cands,_xlpm.counts=_xlpm.mx)))
)</f>
        <v>0</v>
      </c>
      <c r="I467" t="str">
        <f>_xlfn.XLOOKUP(H467,'Place Profiles'!A:A,'Place Profiles'!B:B,"0")</f>
        <v>0</v>
      </c>
      <c r="J467" t="str">
        <f>_xlfn.XLOOKUP(H467,'Place Profiles'!A:A,'Place Profiles'!C:C,"0")</f>
        <v>0</v>
      </c>
    </row>
    <row r="468" spans="1:10" x14ac:dyDescent="0.45">
      <c r="A468" t="str">
        <v>ID_00467</v>
      </c>
      <c r="B468" t="str">
        <v>1619/11/08</v>
      </c>
      <c r="C468" t="str">
        <v>Siena</v>
      </c>
      <c r="D468" s="10">
        <f>_xlfn.XLOOKUP(C468,'Place Profiles'!A:A,'Place Profiles'!B:B,"0")</f>
        <v>43.3184768539152</v>
      </c>
      <c r="E468" s="10">
        <f>_xlfn.XLOOKUP(C468,'Place Profiles'!A:A,'Place Profiles'!C:C,"0")</f>
        <v>11.3310792700061</v>
      </c>
      <c r="F468" t="str">
        <v>Colomba</v>
      </c>
      <c r="G468" t="str">
        <v>von Habsburg, Maria Magdalena</v>
      </c>
      <c r="H468" t="str" cm="1">
        <f t="array" ref="H468">_xlfn.LET(
_xlpm.t,$G468,
_xlpm.cands,_xlfn._xlws.FILTER('Place Profiles'!$G$2:$G$929,'Place Profiles'!$G$2:$G$929&lt;&gt;""),
_xlpm.counts,COUNTIFS('Raw Data'!$G$2:$G$501,_xlpm.t,'Raw Data'!$F$2:$F$501,_xlpm.cands),
_xlpm.mx,MAX(_xlpm.counts),
IF(_xlpm.mx=0,0,_xlfn.TEXTJOIN(" / ",TRUE,_xlfn._xlws.FILTER(_xlpm.cands,_xlpm.counts=_xlpm.mx)))
)</f>
        <v>Firenze/Fiorenza</v>
      </c>
      <c r="I468">
        <f>_xlfn.XLOOKUP(H468,'Place Profiles'!A:A,'Place Profiles'!B:B,"0")</f>
        <v>43.773821664204803</v>
      </c>
      <c r="J468">
        <f>_xlfn.XLOOKUP(H468,'Place Profiles'!A:A,'Place Profiles'!C:C,"0")</f>
        <v>11.2555362617661</v>
      </c>
    </row>
    <row r="469" spans="1:10" x14ac:dyDescent="0.45">
      <c r="A469" t="str">
        <v>ID_00468</v>
      </c>
      <c r="B469" t="str">
        <v>1619/11/26</v>
      </c>
      <c r="C469" t="str">
        <v>Siena</v>
      </c>
      <c r="D469" s="10">
        <f>_xlfn.XLOOKUP(C469,'Place Profiles'!A:A,'Place Profiles'!B:B,"0")</f>
        <v>43.3184768539152</v>
      </c>
      <c r="E469" s="10">
        <f>_xlfn.XLOOKUP(C469,'Place Profiles'!A:A,'Place Profiles'!C:C,"0")</f>
        <v>11.3310792700061</v>
      </c>
      <c r="F469" t="str">
        <v>Multiple</v>
      </c>
      <c r="G469" t="str">
        <v>de' Medici, Cosimo II</v>
      </c>
      <c r="H469" cm="1">
        <f t="array" ref="H469">_xlfn.LET(
_xlpm.t,$G469,
_xlpm.cands,_xlfn._xlws.FILTER('Place Profiles'!$G$2:$G$929,'Place Profiles'!$G$2:$G$929&lt;&gt;""),
_xlpm.counts,COUNTIFS('Raw Data'!$G$2:$G$501,_xlpm.t,'Raw Data'!$F$2:$F$501,_xlpm.cands),
_xlpm.mx,MAX(_xlpm.counts),
IF(_xlpm.mx=0,0,_xlfn.TEXTJOIN(" / ",TRUE,_xlfn._xlws.FILTER(_xlpm.cands,_xlpm.counts=_xlpm.mx)))
)</f>
        <v>0</v>
      </c>
      <c r="I469" t="str">
        <f>_xlfn.XLOOKUP(H469,'Place Profiles'!A:A,'Place Profiles'!B:B,"0")</f>
        <v>0</v>
      </c>
      <c r="J469" t="str">
        <f>_xlfn.XLOOKUP(H469,'Place Profiles'!A:A,'Place Profiles'!C:C,"0")</f>
        <v>0</v>
      </c>
    </row>
    <row r="470" spans="1:10" x14ac:dyDescent="0.45">
      <c r="A470" t="str">
        <v>ID_00469</v>
      </c>
      <c r="B470" t="str">
        <v>1619/12/16</v>
      </c>
      <c r="C470" t="str">
        <v>Siena</v>
      </c>
      <c r="D470" s="10">
        <f>_xlfn.XLOOKUP(C470,'Place Profiles'!A:A,'Place Profiles'!B:B,"0")</f>
        <v>43.3184768539152</v>
      </c>
      <c r="E470" s="10">
        <f>_xlfn.XLOOKUP(C470,'Place Profiles'!A:A,'Place Profiles'!C:C,"0")</f>
        <v>11.3310792700061</v>
      </c>
      <c r="F470" t="str">
        <v>Benngucci, Flamminio</v>
      </c>
      <c r="G470" t="str">
        <v>von Habsburg, Maria Magdalena</v>
      </c>
      <c r="H470" t="str" cm="1">
        <f t="array" ref="H470">_xlfn.LET(
_xlpm.t,$G470,
_xlpm.cands,_xlfn._xlws.FILTER('Place Profiles'!$G$2:$G$929,'Place Profiles'!$G$2:$G$929&lt;&gt;""),
_xlpm.counts,COUNTIFS('Raw Data'!$G$2:$G$501,_xlpm.t,'Raw Data'!$F$2:$F$501,_xlpm.cands),
_xlpm.mx,MAX(_xlpm.counts),
IF(_xlpm.mx=0,0,_xlfn.TEXTJOIN(" / ",TRUE,_xlfn._xlws.FILTER(_xlpm.cands,_xlpm.counts=_xlpm.mx)))
)</f>
        <v>Firenze/Fiorenza</v>
      </c>
      <c r="I470">
        <f>_xlfn.XLOOKUP(H470,'Place Profiles'!A:A,'Place Profiles'!B:B,"0")</f>
        <v>43.773821664204803</v>
      </c>
      <c r="J470">
        <f>_xlfn.XLOOKUP(H470,'Place Profiles'!A:A,'Place Profiles'!C:C,"0")</f>
        <v>11.2555362617661</v>
      </c>
    </row>
    <row r="471" spans="1:10" x14ac:dyDescent="0.45">
      <c r="A471" t="str">
        <v>ID_00470</v>
      </c>
      <c r="B471" t="str">
        <v>1619/12/21</v>
      </c>
      <c r="C471" t="str">
        <v>Siena</v>
      </c>
      <c r="D471" s="10">
        <f>_xlfn.XLOOKUP(C471,'Place Profiles'!A:A,'Place Profiles'!B:B,"0")</f>
        <v>43.3184768539152</v>
      </c>
      <c r="E471" s="10">
        <f>_xlfn.XLOOKUP(C471,'Place Profiles'!A:A,'Place Profiles'!C:C,"0")</f>
        <v>11.3310792700061</v>
      </c>
      <c r="F471" t="str">
        <v>di Lisabetta, Lucretia</v>
      </c>
      <c r="G471" t="str">
        <v>von Habsburg, Maria Magdalena</v>
      </c>
      <c r="H471" t="str" cm="1">
        <f t="array" ref="H471">_xlfn.LET(
_xlpm.t,$G471,
_xlpm.cands,_xlfn._xlws.FILTER('Place Profiles'!$G$2:$G$929,'Place Profiles'!$G$2:$G$929&lt;&gt;""),
_xlpm.counts,COUNTIFS('Raw Data'!$G$2:$G$501,_xlpm.t,'Raw Data'!$F$2:$F$501,_xlpm.cands),
_xlpm.mx,MAX(_xlpm.counts),
IF(_xlpm.mx=0,0,_xlfn.TEXTJOIN(" / ",TRUE,_xlfn._xlws.FILTER(_xlpm.cands,_xlpm.counts=_xlpm.mx)))
)</f>
        <v>Firenze/Fiorenza</v>
      </c>
      <c r="I471">
        <f>_xlfn.XLOOKUP(H471,'Place Profiles'!A:A,'Place Profiles'!B:B,"0")</f>
        <v>43.773821664204803</v>
      </c>
      <c r="J471">
        <f>_xlfn.XLOOKUP(H471,'Place Profiles'!A:A,'Place Profiles'!C:C,"0")</f>
        <v>11.2555362617661</v>
      </c>
    </row>
    <row r="472" spans="1:10" x14ac:dyDescent="0.45">
      <c r="A472" t="str">
        <v>ID_00471</v>
      </c>
      <c r="B472" t="str">
        <v>1619/12/24</v>
      </c>
      <c r="C472" t="str">
        <v>Siena</v>
      </c>
      <c r="D472" s="10">
        <f>_xlfn.XLOOKUP(C472,'Place Profiles'!A:A,'Place Profiles'!B:B,"0")</f>
        <v>43.3184768539152</v>
      </c>
      <c r="E472" s="10">
        <f>_xlfn.XLOOKUP(C472,'Place Profiles'!A:A,'Place Profiles'!C:C,"0")</f>
        <v>11.3310792700061</v>
      </c>
      <c r="F472" t="str">
        <v>Leoncini, Rocco</v>
      </c>
      <c r="G472" t="str">
        <v>von Habsburg, Maria Magdalena</v>
      </c>
      <c r="H472" t="str" cm="1">
        <f t="array" ref="H472">_xlfn.LET(
_xlpm.t,$G472,
_xlpm.cands,_xlfn._xlws.FILTER('Place Profiles'!$G$2:$G$929,'Place Profiles'!$G$2:$G$929&lt;&gt;""),
_xlpm.counts,COUNTIFS('Raw Data'!$G$2:$G$501,_xlpm.t,'Raw Data'!$F$2:$F$501,_xlpm.cands),
_xlpm.mx,MAX(_xlpm.counts),
IF(_xlpm.mx=0,0,_xlfn.TEXTJOIN(" / ",TRUE,_xlfn._xlws.FILTER(_xlpm.cands,_xlpm.counts=_xlpm.mx)))
)</f>
        <v>Firenze/Fiorenza</v>
      </c>
      <c r="I472">
        <f>_xlfn.XLOOKUP(H472,'Place Profiles'!A:A,'Place Profiles'!B:B,"0")</f>
        <v>43.773821664204803</v>
      </c>
      <c r="J472">
        <f>_xlfn.XLOOKUP(H472,'Place Profiles'!A:A,'Place Profiles'!C:C,"0")</f>
        <v>11.2555362617661</v>
      </c>
    </row>
    <row r="473" spans="1:10" x14ac:dyDescent="0.45">
      <c r="A473" t="str">
        <v>ID_00472</v>
      </c>
      <c r="B473" t="str">
        <v>0000/00/00</v>
      </c>
      <c r="C473" t="str">
        <v>Siena</v>
      </c>
      <c r="D473" s="10">
        <f>_xlfn.XLOOKUP(C473,'Place Profiles'!A:A,'Place Profiles'!B:B,"0")</f>
        <v>43.3184768539152</v>
      </c>
      <c r="E473" s="10">
        <f>_xlfn.XLOOKUP(C473,'Place Profiles'!A:A,'Place Profiles'!C:C,"0")</f>
        <v>11.3310792700061</v>
      </c>
      <c r="F473" t="str">
        <v>Colomba</v>
      </c>
      <c r="G473" t="str">
        <v>von Habsburg, Maria Magdalena</v>
      </c>
      <c r="H473" t="str" cm="1">
        <f t="array" ref="H473">_xlfn.LET(
_xlpm.t,$G473,
_xlpm.cands,_xlfn._xlws.FILTER('Place Profiles'!$G$2:$G$929,'Place Profiles'!$G$2:$G$929&lt;&gt;""),
_xlpm.counts,COUNTIFS('Raw Data'!$G$2:$G$501,_xlpm.t,'Raw Data'!$F$2:$F$501,_xlpm.cands),
_xlpm.mx,MAX(_xlpm.counts),
IF(_xlpm.mx=0,0,_xlfn.TEXTJOIN(" / ",TRUE,_xlfn._xlws.FILTER(_xlpm.cands,_xlpm.counts=_xlpm.mx)))
)</f>
        <v>Firenze/Fiorenza</v>
      </c>
      <c r="I473">
        <f>_xlfn.XLOOKUP(H473,'Place Profiles'!A:A,'Place Profiles'!B:B,"0")</f>
        <v>43.773821664204803</v>
      </c>
      <c r="J473">
        <f>_xlfn.XLOOKUP(H473,'Place Profiles'!A:A,'Place Profiles'!C:C,"0")</f>
        <v>11.2555362617661</v>
      </c>
    </row>
    <row r="474" spans="1:10" x14ac:dyDescent="0.45">
      <c r="A474" t="str">
        <v>ID_00473</v>
      </c>
      <c r="B474" t="str">
        <v>1620/02/23</v>
      </c>
      <c r="C474" t="str">
        <v>Siena</v>
      </c>
      <c r="D474" s="10">
        <f>_xlfn.XLOOKUP(C474,'Place Profiles'!A:A,'Place Profiles'!B:B,"0")</f>
        <v>43.3184768539152</v>
      </c>
      <c r="E474" s="10">
        <f>_xlfn.XLOOKUP(C474,'Place Profiles'!A:A,'Place Profiles'!C:C,"0")</f>
        <v>11.3310792700061</v>
      </c>
      <c r="F474" t="str">
        <v>Malvezzi, Peritio</v>
      </c>
      <c r="G474" t="str">
        <v>di Lorena, Cristina</v>
      </c>
      <c r="H474" t="str" cm="1">
        <f t="array" ref="H474">_xlfn.LET(
_xlpm.t,$G474,
_xlpm.cands,_xlfn._xlws.FILTER('Place Profiles'!$G$2:$G$929,'Place Profiles'!$G$2:$G$929&lt;&gt;""),
_xlpm.counts,COUNTIFS('Raw Data'!$G$2:$G$501,_xlpm.t,'Raw Data'!$F$2:$F$501,_xlpm.cands),
_xlpm.mx,MAX(_xlpm.counts),
IF(_xlpm.mx=0,0,_xlfn.TEXTJOIN(" / ",TRUE,_xlfn._xlws.FILTER(_xlpm.cands,_xlpm.counts=_xlpm.mx)))
)</f>
        <v>Firenze/Fiorenza</v>
      </c>
      <c r="I474">
        <f>_xlfn.XLOOKUP(H474,'Place Profiles'!A:A,'Place Profiles'!B:B,"0")</f>
        <v>43.773821664204803</v>
      </c>
      <c r="J474">
        <f>_xlfn.XLOOKUP(H474,'Place Profiles'!A:A,'Place Profiles'!C:C,"0")</f>
        <v>11.2555362617661</v>
      </c>
    </row>
    <row r="475" spans="1:10" x14ac:dyDescent="0.45">
      <c r="A475" t="str">
        <v>ID_00474</v>
      </c>
      <c r="B475" t="str">
        <v>1620/02/24</v>
      </c>
      <c r="C475" t="str">
        <v>Siena</v>
      </c>
      <c r="D475" s="10">
        <f>_xlfn.XLOOKUP(C475,'Place Profiles'!A:A,'Place Profiles'!B:B,"0")</f>
        <v>43.3184768539152</v>
      </c>
      <c r="E475" s="10">
        <f>_xlfn.XLOOKUP(C475,'Place Profiles'!A:A,'Place Profiles'!C:C,"0")</f>
        <v>11.3310792700061</v>
      </c>
      <c r="F475" t="str">
        <v>?, Alessandro</v>
      </c>
      <c r="G475" t="str">
        <v>von Habsburg, Maria Magdalena</v>
      </c>
      <c r="H475" t="str" cm="1">
        <f t="array" ref="H475">_xlfn.LET(
_xlpm.t,$G475,
_xlpm.cands,_xlfn._xlws.FILTER('Place Profiles'!$G$2:$G$929,'Place Profiles'!$G$2:$G$929&lt;&gt;""),
_xlpm.counts,COUNTIFS('Raw Data'!$G$2:$G$501,_xlpm.t,'Raw Data'!$F$2:$F$501,_xlpm.cands),
_xlpm.mx,MAX(_xlpm.counts),
IF(_xlpm.mx=0,0,_xlfn.TEXTJOIN(" / ",TRUE,_xlfn._xlws.FILTER(_xlpm.cands,_xlpm.counts=_xlpm.mx)))
)</f>
        <v>Firenze/Fiorenza</v>
      </c>
      <c r="I475">
        <f>_xlfn.XLOOKUP(H475,'Place Profiles'!A:A,'Place Profiles'!B:B,"0")</f>
        <v>43.773821664204803</v>
      </c>
      <c r="J475">
        <f>_xlfn.XLOOKUP(H475,'Place Profiles'!A:A,'Place Profiles'!C:C,"0")</f>
        <v>11.2555362617661</v>
      </c>
    </row>
    <row r="476" spans="1:10" x14ac:dyDescent="0.45">
      <c r="A476" t="str">
        <v>ID_00475</v>
      </c>
      <c r="B476" t="str">
        <v>1620/03/03</v>
      </c>
      <c r="C476" t="str">
        <v>Siena</v>
      </c>
      <c r="D476" s="10">
        <f>_xlfn.XLOOKUP(C476,'Place Profiles'!A:A,'Place Profiles'!B:B,"0")</f>
        <v>43.3184768539152</v>
      </c>
      <c r="E476" s="10">
        <f>_xlfn.XLOOKUP(C476,'Place Profiles'!A:A,'Place Profiles'!C:C,"0")</f>
        <v>11.3310792700061</v>
      </c>
      <c r="F476" t="str">
        <v>Malvezzi, Peritio</v>
      </c>
      <c r="G476" t="str">
        <v>von Habsburg, Maria Magdalena</v>
      </c>
      <c r="H476" t="str" cm="1">
        <f t="array" ref="H476">_xlfn.LET(
_xlpm.t,$G476,
_xlpm.cands,_xlfn._xlws.FILTER('Place Profiles'!$G$2:$G$929,'Place Profiles'!$G$2:$G$929&lt;&gt;""),
_xlpm.counts,COUNTIFS('Raw Data'!$G$2:$G$501,_xlpm.t,'Raw Data'!$F$2:$F$501,_xlpm.cands),
_xlpm.mx,MAX(_xlpm.counts),
IF(_xlpm.mx=0,0,_xlfn.TEXTJOIN(" / ",TRUE,_xlfn._xlws.FILTER(_xlpm.cands,_xlpm.counts=_xlpm.mx)))
)</f>
        <v>Firenze/Fiorenza</v>
      </c>
      <c r="I476">
        <f>_xlfn.XLOOKUP(H476,'Place Profiles'!A:A,'Place Profiles'!B:B,"0")</f>
        <v>43.773821664204803</v>
      </c>
      <c r="J476">
        <f>_xlfn.XLOOKUP(H476,'Place Profiles'!A:A,'Place Profiles'!C:C,"0")</f>
        <v>11.2555362617661</v>
      </c>
    </row>
    <row r="477" spans="1:10" x14ac:dyDescent="0.45">
      <c r="A477" t="str">
        <v>ID_00476</v>
      </c>
      <c r="B477" t="str">
        <v>1620/03/28</v>
      </c>
      <c r="C477" t="str">
        <v>Siena</v>
      </c>
      <c r="D477" s="10">
        <f>_xlfn.XLOOKUP(C477,'Place Profiles'!A:A,'Place Profiles'!B:B,"0")</f>
        <v>43.3184768539152</v>
      </c>
      <c r="E477" s="10">
        <f>_xlfn.XLOOKUP(C477,'Place Profiles'!A:A,'Place Profiles'!C:C,"0")</f>
        <v>11.3310792700061</v>
      </c>
      <c r="F477" t="str">
        <v>Malvezzi, Peritio</v>
      </c>
      <c r="G477" t="str">
        <v>von Habsburg, Maria Magdalena</v>
      </c>
      <c r="H477" t="str" cm="1">
        <f t="array" ref="H477">_xlfn.LET(
_xlpm.t,$G477,
_xlpm.cands,_xlfn._xlws.FILTER('Place Profiles'!$G$2:$G$929,'Place Profiles'!$G$2:$G$929&lt;&gt;""),
_xlpm.counts,COUNTIFS('Raw Data'!$G$2:$G$501,_xlpm.t,'Raw Data'!$F$2:$F$501,_xlpm.cands),
_xlpm.mx,MAX(_xlpm.counts),
IF(_xlpm.mx=0,0,_xlfn.TEXTJOIN(" / ",TRUE,_xlfn._xlws.FILTER(_xlpm.cands,_xlpm.counts=_xlpm.mx)))
)</f>
        <v>Firenze/Fiorenza</v>
      </c>
      <c r="I477">
        <f>_xlfn.XLOOKUP(H477,'Place Profiles'!A:A,'Place Profiles'!B:B,"0")</f>
        <v>43.773821664204803</v>
      </c>
      <c r="J477">
        <f>_xlfn.XLOOKUP(H477,'Place Profiles'!A:A,'Place Profiles'!C:C,"0")</f>
        <v>11.2555362617661</v>
      </c>
    </row>
    <row r="478" spans="1:10" x14ac:dyDescent="0.45">
      <c r="A478" t="str">
        <v>ID_00477</v>
      </c>
      <c r="B478" t="str">
        <v>1620/03/28</v>
      </c>
      <c r="C478" t="str">
        <v>Siena</v>
      </c>
      <c r="D478" s="10">
        <f>_xlfn.XLOOKUP(C478,'Place Profiles'!A:A,'Place Profiles'!B:B,"0")</f>
        <v>43.3184768539152</v>
      </c>
      <c r="E478" s="10">
        <f>_xlfn.XLOOKUP(C478,'Place Profiles'!A:A,'Place Profiles'!C:C,"0")</f>
        <v>11.3310792700061</v>
      </c>
      <c r="F478" t="str">
        <v>Gellio, Austino</v>
      </c>
      <c r="G478" t="str">
        <v>Unnamed</v>
      </c>
      <c r="H478" t="str" cm="1">
        <f t="array" ref="H478">_xlfn.LET(
_xlpm.t,$G478,
_xlpm.cands,_xlfn._xlws.FILTER('Place Profiles'!$G$2:$G$929,'Place Profiles'!$G$2:$G$929&lt;&gt;""),
_xlpm.counts,COUNTIFS('Raw Data'!$G$2:$G$501,_xlpm.t,'Raw Data'!$F$2:$F$501,_xlpm.cands),
_xlpm.mx,MAX(_xlpm.counts),
IF(_xlpm.mx=0,0,_xlfn.TEXTJOIN(" / ",TRUE,_xlfn._xlws.FILTER(_xlpm.cands,_xlpm.counts=_xlpm.mx)))
)</f>
        <v>Napoli</v>
      </c>
      <c r="I478">
        <f>_xlfn.XLOOKUP(H478,'Place Profiles'!A:A,'Place Profiles'!B:B,"0")</f>
        <v>40.848961755168702</v>
      </c>
      <c r="J478">
        <f>_xlfn.XLOOKUP(H478,'Place Profiles'!A:A,'Place Profiles'!C:C,"0")</f>
        <v>14.271792379340599</v>
      </c>
    </row>
    <row r="479" spans="1:10" x14ac:dyDescent="0.45">
      <c r="A479" t="str">
        <v>ID_00478</v>
      </c>
      <c r="B479" t="str">
        <v>1620/04/04</v>
      </c>
      <c r="C479" t="str">
        <v>Siena</v>
      </c>
      <c r="D479" s="10">
        <f>_xlfn.XLOOKUP(C479,'Place Profiles'!A:A,'Place Profiles'!B:B,"0")</f>
        <v>43.3184768539152</v>
      </c>
      <c r="E479" s="10">
        <f>_xlfn.XLOOKUP(C479,'Place Profiles'!A:A,'Place Profiles'!C:C,"0")</f>
        <v>11.3310792700061</v>
      </c>
      <c r="F479" t="str">
        <v>Griffeli, Bartolomeo</v>
      </c>
      <c r="G479" t="str">
        <v>von Habsburg, Maria Magdalena</v>
      </c>
      <c r="H479" t="str" cm="1">
        <f t="array" ref="H479">_xlfn.LET(
_xlpm.t,$G479,
_xlpm.cands,_xlfn._xlws.FILTER('Place Profiles'!$G$2:$G$929,'Place Profiles'!$G$2:$G$929&lt;&gt;""),
_xlpm.counts,COUNTIFS('Raw Data'!$G$2:$G$501,_xlpm.t,'Raw Data'!$F$2:$F$501,_xlpm.cands),
_xlpm.mx,MAX(_xlpm.counts),
IF(_xlpm.mx=0,0,_xlfn.TEXTJOIN(" / ",TRUE,_xlfn._xlws.FILTER(_xlpm.cands,_xlpm.counts=_xlpm.mx)))
)</f>
        <v>Firenze/Fiorenza</v>
      </c>
      <c r="I479">
        <f>_xlfn.XLOOKUP(H479,'Place Profiles'!A:A,'Place Profiles'!B:B,"0")</f>
        <v>43.773821664204803</v>
      </c>
      <c r="J479">
        <f>_xlfn.XLOOKUP(H479,'Place Profiles'!A:A,'Place Profiles'!C:C,"0")</f>
        <v>11.2555362617661</v>
      </c>
    </row>
    <row r="480" spans="1:10" x14ac:dyDescent="0.45">
      <c r="A480" t="str">
        <v>ID_00479</v>
      </c>
      <c r="B480" t="str">
        <v>1620/04/14</v>
      </c>
      <c r="C480" t="str">
        <v>Siena</v>
      </c>
      <c r="D480" s="10">
        <f>_xlfn.XLOOKUP(C480,'Place Profiles'!A:A,'Place Profiles'!B:B,"0")</f>
        <v>43.3184768539152</v>
      </c>
      <c r="E480" s="10">
        <f>_xlfn.XLOOKUP(C480,'Place Profiles'!A:A,'Place Profiles'!C:C,"0")</f>
        <v>11.3310792700061</v>
      </c>
      <c r="F480" t="str">
        <v>Riccardi, Livio</v>
      </c>
      <c r="G480" t="str">
        <v>von Habsburg, Maria Magdalena</v>
      </c>
      <c r="H480" t="str" cm="1">
        <f t="array" ref="H480">_xlfn.LET(
_xlpm.t,$G480,
_xlpm.cands,_xlfn._xlws.FILTER('Place Profiles'!$G$2:$G$929,'Place Profiles'!$G$2:$G$929&lt;&gt;""),
_xlpm.counts,COUNTIFS('Raw Data'!$G$2:$G$501,_xlpm.t,'Raw Data'!$F$2:$F$501,_xlpm.cands),
_xlpm.mx,MAX(_xlpm.counts),
IF(_xlpm.mx=0,0,_xlfn.TEXTJOIN(" / ",TRUE,_xlfn._xlws.FILTER(_xlpm.cands,_xlpm.counts=_xlpm.mx)))
)</f>
        <v>Firenze/Fiorenza</v>
      </c>
      <c r="I480">
        <f>_xlfn.XLOOKUP(H480,'Place Profiles'!A:A,'Place Profiles'!B:B,"0")</f>
        <v>43.773821664204803</v>
      </c>
      <c r="J480">
        <f>_xlfn.XLOOKUP(H480,'Place Profiles'!A:A,'Place Profiles'!C:C,"0")</f>
        <v>11.2555362617661</v>
      </c>
    </row>
    <row r="481" spans="1:10" x14ac:dyDescent="0.45">
      <c r="A481" t="str">
        <v>ID_00480</v>
      </c>
      <c r="B481" t="str">
        <v>1620/04/18</v>
      </c>
      <c r="C481" t="str">
        <v>Siena</v>
      </c>
      <c r="D481" s="10">
        <f>_xlfn.XLOOKUP(C481,'Place Profiles'!A:A,'Place Profiles'!B:B,"0")</f>
        <v>43.3184768539152</v>
      </c>
      <c r="E481" s="10">
        <f>_xlfn.XLOOKUP(C481,'Place Profiles'!A:A,'Place Profiles'!C:C,"0")</f>
        <v>11.3310792700061</v>
      </c>
      <c r="F481" t="str">
        <v>Vecchi, Virgilio</v>
      </c>
      <c r="G481" t="str">
        <v>de' Medici, Cosimo II</v>
      </c>
      <c r="H481" cm="1">
        <f t="array" ref="H481">_xlfn.LET(
_xlpm.t,$G481,
_xlpm.cands,_xlfn._xlws.FILTER('Place Profiles'!$G$2:$G$929,'Place Profiles'!$G$2:$G$929&lt;&gt;""),
_xlpm.counts,COUNTIFS('Raw Data'!$G$2:$G$501,_xlpm.t,'Raw Data'!$F$2:$F$501,_xlpm.cands),
_xlpm.mx,MAX(_xlpm.counts),
IF(_xlpm.mx=0,0,_xlfn.TEXTJOIN(" / ",TRUE,_xlfn._xlws.FILTER(_xlpm.cands,_xlpm.counts=_xlpm.mx)))
)</f>
        <v>0</v>
      </c>
      <c r="I481" t="str">
        <f>_xlfn.XLOOKUP(H481,'Place Profiles'!A:A,'Place Profiles'!B:B,"0")</f>
        <v>0</v>
      </c>
      <c r="J481" t="str">
        <f>_xlfn.XLOOKUP(H481,'Place Profiles'!A:A,'Place Profiles'!C:C,"0")</f>
        <v>0</v>
      </c>
    </row>
    <row r="482" spans="1:10" x14ac:dyDescent="0.45">
      <c r="A482" t="str">
        <v>ID_00481</v>
      </c>
      <c r="B482" t="str">
        <v>1620/05/18</v>
      </c>
      <c r="C482" t="str">
        <v>Siena</v>
      </c>
      <c r="D482" s="10">
        <f>_xlfn.XLOOKUP(C482,'Place Profiles'!A:A,'Place Profiles'!B:B,"0")</f>
        <v>43.3184768539152</v>
      </c>
      <c r="E482" s="10">
        <f>_xlfn.XLOOKUP(C482,'Place Profiles'!A:A,'Place Profiles'!C:C,"0")</f>
        <v>11.3310792700061</v>
      </c>
      <c r="F482" t="str">
        <v>Colomba</v>
      </c>
      <c r="G482" t="str">
        <v>von Habsburg, Maria Magdalena</v>
      </c>
      <c r="H482" t="str" cm="1">
        <f t="array" ref="H482">_xlfn.LET(
_xlpm.t,$G482,
_xlpm.cands,_xlfn._xlws.FILTER('Place Profiles'!$G$2:$G$929,'Place Profiles'!$G$2:$G$929&lt;&gt;""),
_xlpm.counts,COUNTIFS('Raw Data'!$G$2:$G$501,_xlpm.t,'Raw Data'!$F$2:$F$501,_xlpm.cands),
_xlpm.mx,MAX(_xlpm.counts),
IF(_xlpm.mx=0,0,_xlfn.TEXTJOIN(" / ",TRUE,_xlfn._xlws.FILTER(_xlpm.cands,_xlpm.counts=_xlpm.mx)))
)</f>
        <v>Firenze/Fiorenza</v>
      </c>
      <c r="I482">
        <f>_xlfn.XLOOKUP(H482,'Place Profiles'!A:A,'Place Profiles'!B:B,"0")</f>
        <v>43.773821664204803</v>
      </c>
      <c r="J482">
        <f>_xlfn.XLOOKUP(H482,'Place Profiles'!A:A,'Place Profiles'!C:C,"0")</f>
        <v>11.2555362617661</v>
      </c>
    </row>
    <row r="483" spans="1:10" x14ac:dyDescent="0.45">
      <c r="A483" t="str">
        <v>ID_00482</v>
      </c>
      <c r="B483" t="str">
        <v>1620/05/25</v>
      </c>
      <c r="C483" t="str">
        <v>Siena</v>
      </c>
      <c r="D483" s="10">
        <f>_xlfn.XLOOKUP(C483,'Place Profiles'!A:A,'Place Profiles'!B:B,"0")</f>
        <v>43.3184768539152</v>
      </c>
      <c r="E483" s="10">
        <f>_xlfn.XLOOKUP(C483,'Place Profiles'!A:A,'Place Profiles'!C:C,"0")</f>
        <v>11.3310792700061</v>
      </c>
      <c r="F483" t="str">
        <v>Sozzini, Camilla</v>
      </c>
      <c r="G483" t="str">
        <v>von Habsburg, Maria Magdalena</v>
      </c>
      <c r="H483" t="str" cm="1">
        <f t="array" ref="H483">_xlfn.LET(
_xlpm.t,$G483,
_xlpm.cands,_xlfn._xlws.FILTER('Place Profiles'!$G$2:$G$929,'Place Profiles'!$G$2:$G$929&lt;&gt;""),
_xlpm.counts,COUNTIFS('Raw Data'!$G$2:$G$501,_xlpm.t,'Raw Data'!$F$2:$F$501,_xlpm.cands),
_xlpm.mx,MAX(_xlpm.counts),
IF(_xlpm.mx=0,0,_xlfn.TEXTJOIN(" / ",TRUE,_xlfn._xlws.FILTER(_xlpm.cands,_xlpm.counts=_xlpm.mx)))
)</f>
        <v>Firenze/Fiorenza</v>
      </c>
      <c r="I483">
        <f>_xlfn.XLOOKUP(H483,'Place Profiles'!A:A,'Place Profiles'!B:B,"0")</f>
        <v>43.773821664204803</v>
      </c>
      <c r="J483">
        <f>_xlfn.XLOOKUP(H483,'Place Profiles'!A:A,'Place Profiles'!C:C,"0")</f>
        <v>11.2555362617661</v>
      </c>
    </row>
    <row r="484" spans="1:10" x14ac:dyDescent="0.45">
      <c r="A484" t="str">
        <v>ID_00483</v>
      </c>
      <c r="B484" t="str">
        <v>0000/00/00</v>
      </c>
      <c r="C484" t="str">
        <v>Siena</v>
      </c>
      <c r="D484" s="10">
        <f>_xlfn.XLOOKUP(C484,'Place Profiles'!A:A,'Place Profiles'!B:B,"0")</f>
        <v>43.3184768539152</v>
      </c>
      <c r="E484" s="10">
        <f>_xlfn.XLOOKUP(C484,'Place Profiles'!A:A,'Place Profiles'!C:C,"0")</f>
        <v>11.3310792700061</v>
      </c>
      <c r="F484" t="str">
        <v>Colomba</v>
      </c>
      <c r="G484" t="str">
        <v>von Habsburg, Maria Magdalena</v>
      </c>
      <c r="H484" t="str" cm="1">
        <f t="array" ref="H484">_xlfn.LET(
_xlpm.t,$G484,
_xlpm.cands,_xlfn._xlws.FILTER('Place Profiles'!$G$2:$G$929,'Place Profiles'!$G$2:$G$929&lt;&gt;""),
_xlpm.counts,COUNTIFS('Raw Data'!$G$2:$G$501,_xlpm.t,'Raw Data'!$F$2:$F$501,_xlpm.cands),
_xlpm.mx,MAX(_xlpm.counts),
IF(_xlpm.mx=0,0,_xlfn.TEXTJOIN(" / ",TRUE,_xlfn._xlws.FILTER(_xlpm.cands,_xlpm.counts=_xlpm.mx)))
)</f>
        <v>Firenze/Fiorenza</v>
      </c>
      <c r="I484">
        <f>_xlfn.XLOOKUP(H484,'Place Profiles'!A:A,'Place Profiles'!B:B,"0")</f>
        <v>43.773821664204803</v>
      </c>
      <c r="J484">
        <f>_xlfn.XLOOKUP(H484,'Place Profiles'!A:A,'Place Profiles'!C:C,"0")</f>
        <v>11.2555362617661</v>
      </c>
    </row>
    <row r="485" spans="1:10" x14ac:dyDescent="0.45">
      <c r="A485" t="str">
        <v>ID_00484</v>
      </c>
      <c r="B485" t="str">
        <v>1620/06/21</v>
      </c>
      <c r="C485" t="str">
        <v>Siena</v>
      </c>
      <c r="D485" s="10">
        <f>_xlfn.XLOOKUP(C485,'Place Profiles'!A:A,'Place Profiles'!B:B,"0")</f>
        <v>43.3184768539152</v>
      </c>
      <c r="E485" s="10">
        <f>_xlfn.XLOOKUP(C485,'Place Profiles'!A:A,'Place Profiles'!C:C,"0")</f>
        <v>11.3310792700061</v>
      </c>
      <c r="F485" t="str">
        <v>Vecchi, Virgilio</v>
      </c>
      <c r="G485" t="str">
        <v>von Habsburg, Maria Magdalena</v>
      </c>
      <c r="H485" t="str" cm="1">
        <f t="array" ref="H485">_xlfn.LET(
_xlpm.t,$G485,
_xlpm.cands,_xlfn._xlws.FILTER('Place Profiles'!$G$2:$G$929,'Place Profiles'!$G$2:$G$929&lt;&gt;""),
_xlpm.counts,COUNTIFS('Raw Data'!$G$2:$G$501,_xlpm.t,'Raw Data'!$F$2:$F$501,_xlpm.cands),
_xlpm.mx,MAX(_xlpm.counts),
IF(_xlpm.mx=0,0,_xlfn.TEXTJOIN(" / ",TRUE,_xlfn._xlws.FILTER(_xlpm.cands,_xlpm.counts=_xlpm.mx)))
)</f>
        <v>Firenze/Fiorenza</v>
      </c>
      <c r="I485">
        <f>_xlfn.XLOOKUP(H485,'Place Profiles'!A:A,'Place Profiles'!B:B,"0")</f>
        <v>43.773821664204803</v>
      </c>
      <c r="J485">
        <f>_xlfn.XLOOKUP(H485,'Place Profiles'!A:A,'Place Profiles'!C:C,"0")</f>
        <v>11.2555362617661</v>
      </c>
    </row>
    <row r="486" spans="1:10" x14ac:dyDescent="0.45">
      <c r="A486" t="str">
        <v>ID_00485</v>
      </c>
      <c r="B486" t="str">
        <v>1620/06/21</v>
      </c>
      <c r="C486" t="str">
        <v>Siena</v>
      </c>
      <c r="D486" s="10">
        <f>_xlfn.XLOOKUP(C486,'Place Profiles'!A:A,'Place Profiles'!B:B,"0")</f>
        <v>43.3184768539152</v>
      </c>
      <c r="E486" s="10">
        <f>_xlfn.XLOOKUP(C486,'Place Profiles'!A:A,'Place Profiles'!C:C,"0")</f>
        <v>11.3310792700061</v>
      </c>
      <c r="F486" t="str">
        <v>Vecchi, Virgilio</v>
      </c>
      <c r="G486" t="str">
        <v>de' Medici, Cosimo II</v>
      </c>
      <c r="H486" cm="1">
        <f t="array" ref="H486">_xlfn.LET(
_xlpm.t,$G486,
_xlpm.cands,_xlfn._xlws.FILTER('Place Profiles'!$G$2:$G$929,'Place Profiles'!$G$2:$G$929&lt;&gt;""),
_xlpm.counts,COUNTIFS('Raw Data'!$G$2:$G$501,_xlpm.t,'Raw Data'!$F$2:$F$501,_xlpm.cands),
_xlpm.mx,MAX(_xlpm.counts),
IF(_xlpm.mx=0,0,_xlfn.TEXTJOIN(" / ",TRUE,_xlfn._xlws.FILTER(_xlpm.cands,_xlpm.counts=_xlpm.mx)))
)</f>
        <v>0</v>
      </c>
      <c r="I486" t="str">
        <f>_xlfn.XLOOKUP(H486,'Place Profiles'!A:A,'Place Profiles'!B:B,"0")</f>
        <v>0</v>
      </c>
      <c r="J486" t="str">
        <f>_xlfn.XLOOKUP(H486,'Place Profiles'!A:A,'Place Profiles'!C:C,"0")</f>
        <v>0</v>
      </c>
    </row>
    <row r="487" spans="1:10" x14ac:dyDescent="0.45">
      <c r="A487" t="str">
        <v>ID_00486</v>
      </c>
      <c r="B487" t="str">
        <v>1620/06/25</v>
      </c>
      <c r="C487" t="str">
        <v>Siena</v>
      </c>
      <c r="D487" s="10">
        <f>_xlfn.XLOOKUP(C487,'Place Profiles'!A:A,'Place Profiles'!B:B,"0")</f>
        <v>43.3184768539152</v>
      </c>
      <c r="E487" s="10">
        <f>_xlfn.XLOOKUP(C487,'Place Profiles'!A:A,'Place Profiles'!C:C,"0")</f>
        <v>11.3310792700061</v>
      </c>
      <c r="F487" t="str">
        <v>d'Elci, Orso</v>
      </c>
      <c r="G487" t="str">
        <v>von Habsburg, Maria Magdalena</v>
      </c>
      <c r="H487" t="str" cm="1">
        <f t="array" ref="H487">_xlfn.LET(
_xlpm.t,$G487,
_xlpm.cands,_xlfn._xlws.FILTER('Place Profiles'!$G$2:$G$929,'Place Profiles'!$G$2:$G$929&lt;&gt;""),
_xlpm.counts,COUNTIFS('Raw Data'!$G$2:$G$501,_xlpm.t,'Raw Data'!$F$2:$F$501,_xlpm.cands),
_xlpm.mx,MAX(_xlpm.counts),
IF(_xlpm.mx=0,0,_xlfn.TEXTJOIN(" / ",TRUE,_xlfn._xlws.FILTER(_xlpm.cands,_xlpm.counts=_xlpm.mx)))
)</f>
        <v>Firenze/Fiorenza</v>
      </c>
      <c r="I487">
        <f>_xlfn.XLOOKUP(H487,'Place Profiles'!A:A,'Place Profiles'!B:B,"0")</f>
        <v>43.773821664204803</v>
      </c>
      <c r="J487">
        <f>_xlfn.XLOOKUP(H487,'Place Profiles'!A:A,'Place Profiles'!C:C,"0")</f>
        <v>11.2555362617661</v>
      </c>
    </row>
    <row r="488" spans="1:10" x14ac:dyDescent="0.45">
      <c r="A488" t="str">
        <v>ID_00487</v>
      </c>
      <c r="B488" t="str">
        <v>1620/07/05</v>
      </c>
      <c r="C488" t="str">
        <v>Siena</v>
      </c>
      <c r="D488" s="10">
        <f>_xlfn.XLOOKUP(C488,'Place Profiles'!A:A,'Place Profiles'!B:B,"0")</f>
        <v>43.3184768539152</v>
      </c>
      <c r="E488" s="10">
        <f>_xlfn.XLOOKUP(C488,'Place Profiles'!A:A,'Place Profiles'!C:C,"0")</f>
        <v>11.3310792700061</v>
      </c>
      <c r="F488" t="str">
        <v>Dionigi, Cintia</v>
      </c>
      <c r="G488" t="str">
        <v>von Habsburg, Maria Magdalena</v>
      </c>
      <c r="H488" t="str" cm="1">
        <f t="array" ref="H488">_xlfn.LET(
_xlpm.t,$G488,
_xlpm.cands,_xlfn._xlws.FILTER('Place Profiles'!$G$2:$G$929,'Place Profiles'!$G$2:$G$929&lt;&gt;""),
_xlpm.counts,COUNTIFS('Raw Data'!$G$2:$G$501,_xlpm.t,'Raw Data'!$F$2:$F$501,_xlpm.cands),
_xlpm.mx,MAX(_xlpm.counts),
IF(_xlpm.mx=0,0,_xlfn.TEXTJOIN(" / ",TRUE,_xlfn._xlws.FILTER(_xlpm.cands,_xlpm.counts=_xlpm.mx)))
)</f>
        <v>Firenze/Fiorenza</v>
      </c>
      <c r="I488">
        <f>_xlfn.XLOOKUP(H488,'Place Profiles'!A:A,'Place Profiles'!B:B,"0")</f>
        <v>43.773821664204803</v>
      </c>
      <c r="J488">
        <f>_xlfn.XLOOKUP(H488,'Place Profiles'!A:A,'Place Profiles'!C:C,"0")</f>
        <v>11.2555362617661</v>
      </c>
    </row>
    <row r="489" spans="1:10" x14ac:dyDescent="0.45">
      <c r="A489" t="str">
        <v>ID_00488</v>
      </c>
      <c r="B489" t="str">
        <v>1620/07/15</v>
      </c>
      <c r="C489" t="str">
        <v>Siena</v>
      </c>
      <c r="D489" s="10">
        <f>_xlfn.XLOOKUP(C489,'Place Profiles'!A:A,'Place Profiles'!B:B,"0")</f>
        <v>43.3184768539152</v>
      </c>
      <c r="E489" s="10">
        <f>_xlfn.XLOOKUP(C489,'Place Profiles'!A:A,'Place Profiles'!C:C,"0")</f>
        <v>11.3310792700061</v>
      </c>
      <c r="F489" t="str">
        <v>Leoncini, Rocco</v>
      </c>
      <c r="G489" t="str">
        <v>von Habsburg, Maria Magdalena</v>
      </c>
      <c r="H489" t="str" cm="1">
        <f t="array" ref="H489">_xlfn.LET(
_xlpm.t,$G489,
_xlpm.cands,_xlfn._xlws.FILTER('Place Profiles'!$G$2:$G$929,'Place Profiles'!$G$2:$G$929&lt;&gt;""),
_xlpm.counts,COUNTIFS('Raw Data'!$G$2:$G$501,_xlpm.t,'Raw Data'!$F$2:$F$501,_xlpm.cands),
_xlpm.mx,MAX(_xlpm.counts),
IF(_xlpm.mx=0,0,_xlfn.TEXTJOIN(" / ",TRUE,_xlfn._xlws.FILTER(_xlpm.cands,_xlpm.counts=_xlpm.mx)))
)</f>
        <v>Firenze/Fiorenza</v>
      </c>
      <c r="I489">
        <f>_xlfn.XLOOKUP(H489,'Place Profiles'!A:A,'Place Profiles'!B:B,"0")</f>
        <v>43.773821664204803</v>
      </c>
      <c r="J489">
        <f>_xlfn.XLOOKUP(H489,'Place Profiles'!A:A,'Place Profiles'!C:C,"0")</f>
        <v>11.2555362617661</v>
      </c>
    </row>
    <row r="490" spans="1:10" x14ac:dyDescent="0.45">
      <c r="A490" t="str">
        <v>ID_00489</v>
      </c>
      <c r="B490" t="str">
        <v>1620/07/20</v>
      </c>
      <c r="C490" t="str">
        <v>Siena</v>
      </c>
      <c r="D490" s="10">
        <f>_xlfn.XLOOKUP(C490,'Place Profiles'!A:A,'Place Profiles'!B:B,"0")</f>
        <v>43.3184768539152</v>
      </c>
      <c r="E490" s="10">
        <f>_xlfn.XLOOKUP(C490,'Place Profiles'!A:A,'Place Profiles'!C:C,"0")</f>
        <v>11.3310792700061</v>
      </c>
      <c r="F490" t="str">
        <v>Colomba</v>
      </c>
      <c r="G490" t="str">
        <v>von Habsburg, Maria Magdalena</v>
      </c>
      <c r="H490" t="str" cm="1">
        <f t="array" ref="H490">_xlfn.LET(
_xlpm.t,$G490,
_xlpm.cands,_xlfn._xlws.FILTER('Place Profiles'!$G$2:$G$929,'Place Profiles'!$G$2:$G$929&lt;&gt;""),
_xlpm.counts,COUNTIFS('Raw Data'!$G$2:$G$501,_xlpm.t,'Raw Data'!$F$2:$F$501,_xlpm.cands),
_xlpm.mx,MAX(_xlpm.counts),
IF(_xlpm.mx=0,0,_xlfn.TEXTJOIN(" / ",TRUE,_xlfn._xlws.FILTER(_xlpm.cands,_xlpm.counts=_xlpm.mx)))
)</f>
        <v>Firenze/Fiorenza</v>
      </c>
      <c r="I490">
        <f>_xlfn.XLOOKUP(H490,'Place Profiles'!A:A,'Place Profiles'!B:B,"0")</f>
        <v>43.773821664204803</v>
      </c>
      <c r="J490">
        <f>_xlfn.XLOOKUP(H490,'Place Profiles'!A:A,'Place Profiles'!C:C,"0")</f>
        <v>11.2555362617661</v>
      </c>
    </row>
    <row r="491" spans="1:10" x14ac:dyDescent="0.45">
      <c r="A491" t="str">
        <v>ID_00490</v>
      </c>
      <c r="B491" t="str">
        <v>1620/07/31</v>
      </c>
      <c r="C491" t="str">
        <v>Siena</v>
      </c>
      <c r="D491" s="10">
        <f>_xlfn.XLOOKUP(C491,'Place Profiles'!A:A,'Place Profiles'!B:B,"0")</f>
        <v>43.3184768539152</v>
      </c>
      <c r="E491" s="10">
        <f>_xlfn.XLOOKUP(C491,'Place Profiles'!A:A,'Place Profiles'!C:C,"0")</f>
        <v>11.3310792700061</v>
      </c>
      <c r="F491" t="str">
        <v>Vecchi, Virgilio</v>
      </c>
      <c r="G491" t="str">
        <v>von Habsburg, Maria Magdalena</v>
      </c>
      <c r="H491" t="str" cm="1">
        <f t="array" ref="H491">_xlfn.LET(
_xlpm.t,$G491,
_xlpm.cands,_xlfn._xlws.FILTER('Place Profiles'!$G$2:$G$929,'Place Profiles'!$G$2:$G$929&lt;&gt;""),
_xlpm.counts,COUNTIFS('Raw Data'!$G$2:$G$501,_xlpm.t,'Raw Data'!$F$2:$F$501,_xlpm.cands),
_xlpm.mx,MAX(_xlpm.counts),
IF(_xlpm.mx=0,0,_xlfn.TEXTJOIN(" / ",TRUE,_xlfn._xlws.FILTER(_xlpm.cands,_xlpm.counts=_xlpm.mx)))
)</f>
        <v>Firenze/Fiorenza</v>
      </c>
      <c r="I491">
        <f>_xlfn.XLOOKUP(H491,'Place Profiles'!A:A,'Place Profiles'!B:B,"0")</f>
        <v>43.773821664204803</v>
      </c>
      <c r="J491">
        <f>_xlfn.XLOOKUP(H491,'Place Profiles'!A:A,'Place Profiles'!C:C,"0")</f>
        <v>11.2555362617661</v>
      </c>
    </row>
    <row r="492" spans="1:10" x14ac:dyDescent="0.45">
      <c r="A492" t="str">
        <v>ID_00491</v>
      </c>
      <c r="B492" t="str">
        <v>1620/08/11</v>
      </c>
      <c r="C492" t="str">
        <v>Siena</v>
      </c>
      <c r="D492" s="10">
        <f>_xlfn.XLOOKUP(C492,'Place Profiles'!A:A,'Place Profiles'!B:B,"0")</f>
        <v>43.3184768539152</v>
      </c>
      <c r="E492" s="10">
        <f>_xlfn.XLOOKUP(C492,'Place Profiles'!A:A,'Place Profiles'!C:C,"0")</f>
        <v>11.3310792700061</v>
      </c>
      <c r="F492" t="str">
        <v>Leoncini, Rocco</v>
      </c>
      <c r="G492" t="str">
        <v>von Habsburg, Maria Magdalena</v>
      </c>
      <c r="H492" t="str" cm="1">
        <f t="array" ref="H492">_xlfn.LET(
_xlpm.t,$G492,
_xlpm.cands,_xlfn._xlws.FILTER('Place Profiles'!$G$2:$G$929,'Place Profiles'!$G$2:$G$929&lt;&gt;""),
_xlpm.counts,COUNTIFS('Raw Data'!$G$2:$G$501,_xlpm.t,'Raw Data'!$F$2:$F$501,_xlpm.cands),
_xlpm.mx,MAX(_xlpm.counts),
IF(_xlpm.mx=0,0,_xlfn.TEXTJOIN(" / ",TRUE,_xlfn._xlws.FILTER(_xlpm.cands,_xlpm.counts=_xlpm.mx)))
)</f>
        <v>Firenze/Fiorenza</v>
      </c>
      <c r="I492">
        <f>_xlfn.XLOOKUP(H492,'Place Profiles'!A:A,'Place Profiles'!B:B,"0")</f>
        <v>43.773821664204803</v>
      </c>
      <c r="J492">
        <f>_xlfn.XLOOKUP(H492,'Place Profiles'!A:A,'Place Profiles'!C:C,"0")</f>
        <v>11.2555362617661</v>
      </c>
    </row>
    <row r="493" spans="1:10" x14ac:dyDescent="0.45">
      <c r="A493" t="str">
        <v>ID_00492</v>
      </c>
      <c r="B493" t="str">
        <v>1623/06/21</v>
      </c>
      <c r="C493" t="str">
        <v>Siena</v>
      </c>
      <c r="D493" s="10">
        <f>_xlfn.XLOOKUP(C493,'Place Profiles'!A:A,'Place Profiles'!B:B,"0")</f>
        <v>43.3184768539152</v>
      </c>
      <c r="E493" s="10">
        <f>_xlfn.XLOOKUP(C493,'Place Profiles'!A:A,'Place Profiles'!C:C,"0")</f>
        <v>11.3310792700061</v>
      </c>
      <c r="F493" t="str">
        <v>Vecchi, Virgilio</v>
      </c>
      <c r="G493" t="str">
        <v>von Habsburg, Maria Magdalena</v>
      </c>
      <c r="H493" t="str" cm="1">
        <f t="array" ref="H493">_xlfn.LET(
_xlpm.t,$G493,
_xlpm.cands,_xlfn._xlws.FILTER('Place Profiles'!$G$2:$G$929,'Place Profiles'!$G$2:$G$929&lt;&gt;""),
_xlpm.counts,COUNTIFS('Raw Data'!$G$2:$G$501,_xlpm.t,'Raw Data'!$F$2:$F$501,_xlpm.cands),
_xlpm.mx,MAX(_xlpm.counts),
IF(_xlpm.mx=0,0,_xlfn.TEXTJOIN(" / ",TRUE,_xlfn._xlws.FILTER(_xlpm.cands,_xlpm.counts=_xlpm.mx)))
)</f>
        <v>Firenze/Fiorenza</v>
      </c>
      <c r="I493">
        <f>_xlfn.XLOOKUP(H493,'Place Profiles'!A:A,'Place Profiles'!B:B,"0")</f>
        <v>43.773821664204803</v>
      </c>
      <c r="J493">
        <f>_xlfn.XLOOKUP(H493,'Place Profiles'!A:A,'Place Profiles'!C:C,"0")</f>
        <v>11.2555362617661</v>
      </c>
    </row>
    <row r="494" spans="1:10" x14ac:dyDescent="0.45">
      <c r="A494" t="str">
        <v>ID_00493</v>
      </c>
      <c r="B494" t="str">
        <v>1620/08/18</v>
      </c>
      <c r="C494" t="str">
        <v>Siena</v>
      </c>
      <c r="D494" s="10">
        <f>_xlfn.XLOOKUP(C494,'Place Profiles'!A:A,'Place Profiles'!B:B,"0")</f>
        <v>43.3184768539152</v>
      </c>
      <c r="E494" s="10">
        <f>_xlfn.XLOOKUP(C494,'Place Profiles'!A:A,'Place Profiles'!C:C,"0")</f>
        <v>11.3310792700061</v>
      </c>
      <c r="F494" t="str">
        <v>Leoncini, Rocco</v>
      </c>
      <c r="G494" t="str">
        <v>von Habsburg, Maria Magdalena</v>
      </c>
      <c r="H494" t="str" cm="1">
        <f t="array" ref="H494">_xlfn.LET(
_xlpm.t,$G494,
_xlpm.cands,_xlfn._xlws.FILTER('Place Profiles'!$G$2:$G$929,'Place Profiles'!$G$2:$G$929&lt;&gt;""),
_xlpm.counts,COUNTIFS('Raw Data'!$G$2:$G$501,_xlpm.t,'Raw Data'!$F$2:$F$501,_xlpm.cands),
_xlpm.mx,MAX(_xlpm.counts),
IF(_xlpm.mx=0,0,_xlfn.TEXTJOIN(" / ",TRUE,_xlfn._xlws.FILTER(_xlpm.cands,_xlpm.counts=_xlpm.mx)))
)</f>
        <v>Firenze/Fiorenza</v>
      </c>
      <c r="I494">
        <f>_xlfn.XLOOKUP(H494,'Place Profiles'!A:A,'Place Profiles'!B:B,"0")</f>
        <v>43.773821664204803</v>
      </c>
      <c r="J494">
        <f>_xlfn.XLOOKUP(H494,'Place Profiles'!A:A,'Place Profiles'!C:C,"0")</f>
        <v>11.2555362617661</v>
      </c>
    </row>
    <row r="495" spans="1:10" x14ac:dyDescent="0.45">
      <c r="A495" t="str">
        <v>ID_00494</v>
      </c>
      <c r="B495" t="str">
        <v>1620/09/08</v>
      </c>
      <c r="C495" t="str">
        <v>Siena</v>
      </c>
      <c r="D495" s="10">
        <f>_xlfn.XLOOKUP(C495,'Place Profiles'!A:A,'Place Profiles'!B:B,"0")</f>
        <v>43.3184768539152</v>
      </c>
      <c r="E495" s="10">
        <f>_xlfn.XLOOKUP(C495,'Place Profiles'!A:A,'Place Profiles'!C:C,"0")</f>
        <v>11.3310792700061</v>
      </c>
      <c r="F495" t="str">
        <v>Leoncini, Rocco</v>
      </c>
      <c r="G495" t="str">
        <v>von Habsburg, Maria Magdalena</v>
      </c>
      <c r="H495" t="str" cm="1">
        <f t="array" ref="H495">_xlfn.LET(
_xlpm.t,$G495,
_xlpm.cands,_xlfn._xlws.FILTER('Place Profiles'!$G$2:$G$929,'Place Profiles'!$G$2:$G$929&lt;&gt;""),
_xlpm.counts,COUNTIFS('Raw Data'!$G$2:$G$501,_xlpm.t,'Raw Data'!$F$2:$F$501,_xlpm.cands),
_xlpm.mx,MAX(_xlpm.counts),
IF(_xlpm.mx=0,0,_xlfn.TEXTJOIN(" / ",TRUE,_xlfn._xlws.FILTER(_xlpm.cands,_xlpm.counts=_xlpm.mx)))
)</f>
        <v>Firenze/Fiorenza</v>
      </c>
      <c r="I495">
        <f>_xlfn.XLOOKUP(H495,'Place Profiles'!A:A,'Place Profiles'!B:B,"0")</f>
        <v>43.773821664204803</v>
      </c>
      <c r="J495">
        <f>_xlfn.XLOOKUP(H495,'Place Profiles'!A:A,'Place Profiles'!C:C,"0")</f>
        <v>11.2555362617661</v>
      </c>
    </row>
    <row r="496" spans="1:10" x14ac:dyDescent="0.45">
      <c r="A496" t="str">
        <v>ID_00495</v>
      </c>
      <c r="B496" t="str">
        <v>1620/09/15</v>
      </c>
      <c r="C496" t="str">
        <v>Siena</v>
      </c>
      <c r="D496" s="10">
        <f>_xlfn.XLOOKUP(C496,'Place Profiles'!A:A,'Place Profiles'!B:B,"0")</f>
        <v>43.3184768539152</v>
      </c>
      <c r="E496" s="10">
        <f>_xlfn.XLOOKUP(C496,'Place Profiles'!A:A,'Place Profiles'!C:C,"0")</f>
        <v>11.3310792700061</v>
      </c>
      <c r="F496" t="str">
        <v>Colomba</v>
      </c>
      <c r="G496" t="str">
        <v>von Habsburg, Maria Magdalena</v>
      </c>
      <c r="H496" t="str" cm="1">
        <f t="array" ref="H496">_xlfn.LET(
_xlpm.t,$G496,
_xlpm.cands,_xlfn._xlws.FILTER('Place Profiles'!$G$2:$G$929,'Place Profiles'!$G$2:$G$929&lt;&gt;""),
_xlpm.counts,COUNTIFS('Raw Data'!$G$2:$G$501,_xlpm.t,'Raw Data'!$F$2:$F$501,_xlpm.cands),
_xlpm.mx,MAX(_xlpm.counts),
IF(_xlpm.mx=0,0,_xlfn.TEXTJOIN(" / ",TRUE,_xlfn._xlws.FILTER(_xlpm.cands,_xlpm.counts=_xlpm.mx)))
)</f>
        <v>Firenze/Fiorenza</v>
      </c>
      <c r="I496">
        <f>_xlfn.XLOOKUP(H496,'Place Profiles'!A:A,'Place Profiles'!B:B,"0")</f>
        <v>43.773821664204803</v>
      </c>
      <c r="J496">
        <f>_xlfn.XLOOKUP(H496,'Place Profiles'!A:A,'Place Profiles'!C:C,"0")</f>
        <v>11.2555362617661</v>
      </c>
    </row>
    <row r="497" spans="1:10" x14ac:dyDescent="0.45">
      <c r="A497" t="str">
        <v>ID_00496</v>
      </c>
      <c r="B497" t="str">
        <v>1620/09/27</v>
      </c>
      <c r="C497" t="str">
        <v>Siena</v>
      </c>
      <c r="D497" s="10">
        <f>_xlfn.XLOOKUP(C497,'Place Profiles'!A:A,'Place Profiles'!B:B,"0")</f>
        <v>43.3184768539152</v>
      </c>
      <c r="E497" s="10">
        <f>_xlfn.XLOOKUP(C497,'Place Profiles'!A:A,'Place Profiles'!C:C,"0")</f>
        <v>11.3310792700061</v>
      </c>
      <c r="F497" t="str">
        <v>Ciruzi, Livia</v>
      </c>
      <c r="G497" t="str">
        <v>di Lorena, Cristina</v>
      </c>
      <c r="H497" t="str" cm="1">
        <f t="array" ref="H497">_xlfn.LET(
_xlpm.t,$G497,
_xlpm.cands,_xlfn._xlws.FILTER('Place Profiles'!$G$2:$G$929,'Place Profiles'!$G$2:$G$929&lt;&gt;""),
_xlpm.counts,COUNTIFS('Raw Data'!$G$2:$G$501,_xlpm.t,'Raw Data'!$F$2:$F$501,_xlpm.cands),
_xlpm.mx,MAX(_xlpm.counts),
IF(_xlpm.mx=0,0,_xlfn.TEXTJOIN(" / ",TRUE,_xlfn._xlws.FILTER(_xlpm.cands,_xlpm.counts=_xlpm.mx)))
)</f>
        <v>Firenze/Fiorenza</v>
      </c>
      <c r="I497">
        <f>_xlfn.XLOOKUP(H497,'Place Profiles'!A:A,'Place Profiles'!B:B,"0")</f>
        <v>43.773821664204803</v>
      </c>
      <c r="J497">
        <f>_xlfn.XLOOKUP(H497,'Place Profiles'!A:A,'Place Profiles'!C:C,"0")</f>
        <v>11.2555362617661</v>
      </c>
    </row>
    <row r="498" spans="1:10" x14ac:dyDescent="0.45">
      <c r="A498" t="str">
        <v>ID_00497</v>
      </c>
      <c r="B498" t="str">
        <v>1620/09/29</v>
      </c>
      <c r="C498" t="str">
        <v>Siena</v>
      </c>
      <c r="D498" s="10">
        <f>_xlfn.XLOOKUP(C498,'Place Profiles'!A:A,'Place Profiles'!B:B,"0")</f>
        <v>43.3184768539152</v>
      </c>
      <c r="E498" s="10">
        <f>_xlfn.XLOOKUP(C498,'Place Profiles'!A:A,'Place Profiles'!C:C,"0")</f>
        <v>11.3310792700061</v>
      </c>
      <c r="F498" t="str">
        <v>Taneredi, Scipion'</v>
      </c>
      <c r="G498" t="str">
        <v>von Habsburg, Maria Magdalena</v>
      </c>
      <c r="H498" t="str" cm="1">
        <f t="array" ref="H498">_xlfn.LET(
_xlpm.t,$G498,
_xlpm.cands,_xlfn._xlws.FILTER('Place Profiles'!$G$2:$G$929,'Place Profiles'!$G$2:$G$929&lt;&gt;""),
_xlpm.counts,COUNTIFS('Raw Data'!$G$2:$G$501,_xlpm.t,'Raw Data'!$F$2:$F$501,_xlpm.cands),
_xlpm.mx,MAX(_xlpm.counts),
IF(_xlpm.mx=0,0,_xlfn.TEXTJOIN(" / ",TRUE,_xlfn._xlws.FILTER(_xlpm.cands,_xlpm.counts=_xlpm.mx)))
)</f>
        <v>Firenze/Fiorenza</v>
      </c>
      <c r="I498">
        <f>_xlfn.XLOOKUP(H498,'Place Profiles'!A:A,'Place Profiles'!B:B,"0")</f>
        <v>43.773821664204803</v>
      </c>
      <c r="J498">
        <f>_xlfn.XLOOKUP(H498,'Place Profiles'!A:A,'Place Profiles'!C:C,"0")</f>
        <v>11.2555362617661</v>
      </c>
    </row>
    <row r="499" spans="1:10" x14ac:dyDescent="0.45">
      <c r="A499" t="str">
        <v>ID_00498</v>
      </c>
      <c r="B499" t="str">
        <v>1620/10/21</v>
      </c>
      <c r="C499" t="str">
        <v>Siena</v>
      </c>
      <c r="D499" s="10">
        <f>_xlfn.XLOOKUP(C499,'Place Profiles'!A:A,'Place Profiles'!B:B,"0")</f>
        <v>43.3184768539152</v>
      </c>
      <c r="E499" s="10">
        <f>_xlfn.XLOOKUP(C499,'Place Profiles'!A:A,'Place Profiles'!C:C,"0")</f>
        <v>11.3310792700061</v>
      </c>
      <c r="F499" t="str">
        <v>Leoncini, Rocco</v>
      </c>
      <c r="G499" t="str">
        <v>von Habsburg, Maria Magdalena</v>
      </c>
      <c r="H499" t="str" cm="1">
        <f t="array" ref="H499">_xlfn.LET(
_xlpm.t,$G499,
_xlpm.cands,_xlfn._xlws.FILTER('Place Profiles'!$G$2:$G$929,'Place Profiles'!$G$2:$G$929&lt;&gt;""),
_xlpm.counts,COUNTIFS('Raw Data'!$G$2:$G$501,_xlpm.t,'Raw Data'!$F$2:$F$501,_xlpm.cands),
_xlpm.mx,MAX(_xlpm.counts),
IF(_xlpm.mx=0,0,_xlfn.TEXTJOIN(" / ",TRUE,_xlfn._xlws.FILTER(_xlpm.cands,_xlpm.counts=_xlpm.mx)))
)</f>
        <v>Firenze/Fiorenza</v>
      </c>
      <c r="I499">
        <f>_xlfn.XLOOKUP(H499,'Place Profiles'!A:A,'Place Profiles'!B:B,"0")</f>
        <v>43.773821664204803</v>
      </c>
      <c r="J499">
        <f>_xlfn.XLOOKUP(H499,'Place Profiles'!A:A,'Place Profiles'!C:C,"0")</f>
        <v>11.2555362617661</v>
      </c>
    </row>
    <row r="500" spans="1:10" x14ac:dyDescent="0.45">
      <c r="A500" t="str">
        <v>ID_00499</v>
      </c>
      <c r="B500" t="str">
        <v>1620/11/02</v>
      </c>
      <c r="C500" t="str">
        <v>Siena</v>
      </c>
      <c r="D500" s="10">
        <f>_xlfn.XLOOKUP(C500,'Place Profiles'!A:A,'Place Profiles'!B:B,"0")</f>
        <v>43.3184768539152</v>
      </c>
      <c r="E500" s="10">
        <f>_xlfn.XLOOKUP(C500,'Place Profiles'!A:A,'Place Profiles'!C:C,"0")</f>
        <v>11.3310792700061</v>
      </c>
      <c r="F500" t="str">
        <v>Leoncini, Rocco</v>
      </c>
      <c r="G500" t="str">
        <v>von Habsburg, Maria Magdalena</v>
      </c>
      <c r="H500" t="str" cm="1">
        <f t="array" ref="H500">_xlfn.LET(
_xlpm.t,$G500,
_xlpm.cands,_xlfn._xlws.FILTER('Place Profiles'!$G$2:$G$929,'Place Profiles'!$G$2:$G$929&lt;&gt;""),
_xlpm.counts,COUNTIFS('Raw Data'!$G$2:$G$501,_xlpm.t,'Raw Data'!$F$2:$F$501,_xlpm.cands),
_xlpm.mx,MAX(_xlpm.counts),
IF(_xlpm.mx=0,0,_xlfn.TEXTJOIN(" / ",TRUE,_xlfn._xlws.FILTER(_xlpm.cands,_xlpm.counts=_xlpm.mx)))
)</f>
        <v>Firenze/Fiorenza</v>
      </c>
      <c r="I500">
        <f>_xlfn.XLOOKUP(H500,'Place Profiles'!A:A,'Place Profiles'!B:B,"0")</f>
        <v>43.773821664204803</v>
      </c>
      <c r="J500">
        <f>_xlfn.XLOOKUP(H500,'Place Profiles'!A:A,'Place Profiles'!C:C,"0")</f>
        <v>11.2555362617661</v>
      </c>
    </row>
    <row r="501" spans="1:10" x14ac:dyDescent="0.45">
      <c r="A501" t="str">
        <v>ID_00500</v>
      </c>
      <c r="B501" t="str">
        <v>1620/11/02</v>
      </c>
      <c r="C501" t="str">
        <v>Siena</v>
      </c>
      <c r="D501" s="10">
        <f>_xlfn.XLOOKUP(C501,'Place Profiles'!A:A,'Place Profiles'!B:B,"0")</f>
        <v>43.3184768539152</v>
      </c>
      <c r="E501" s="10">
        <f>_xlfn.XLOOKUP(C501,'Place Profiles'!A:A,'Place Profiles'!C:C,"0")</f>
        <v>11.3310792700061</v>
      </c>
      <c r="F501" t="str">
        <v>Colomba</v>
      </c>
      <c r="G501" t="str">
        <v>von Habsburg, Maria Magdalena</v>
      </c>
      <c r="H501" t="str" cm="1">
        <f t="array" ref="H501">_xlfn.LET(
_xlpm.t,$G501,
_xlpm.cands,_xlfn._xlws.FILTER('Place Profiles'!$G$2:$G$929,'Place Profiles'!$G$2:$G$929&lt;&gt;""),
_xlpm.counts,COUNTIFS('Raw Data'!$G$2:$G$501,_xlpm.t,'Raw Data'!$F$2:$F$501,_xlpm.cands),
_xlpm.mx,MAX(_xlpm.counts),
IF(_xlpm.mx=0,0,_xlfn.TEXTJOIN(" / ",TRUE,_xlfn._xlws.FILTER(_xlpm.cands,_xlpm.counts=_xlpm.mx)))
)</f>
        <v>Firenze/Fiorenza</v>
      </c>
      <c r="I501">
        <f>_xlfn.XLOOKUP(H501,'Place Profiles'!A:A,'Place Profiles'!B:B,"0")</f>
        <v>43.773821664204803</v>
      </c>
      <c r="J501">
        <f>_xlfn.XLOOKUP(H501,'Place Profiles'!A:A,'Place Profiles'!C:C,"0")</f>
        <v>11.2555362617661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5738-00C2-4318-862A-35C3D6CC0DBC}">
  <dimension ref="A1:J111"/>
  <sheetViews>
    <sheetView topLeftCell="B160" workbookViewId="0">
      <selection activeCell="B188" sqref="B188"/>
    </sheetView>
  </sheetViews>
  <sheetFormatPr defaultRowHeight="14.25" x14ac:dyDescent="0.45"/>
  <cols>
    <col min="1" max="1" width="26.1328125" customWidth="1"/>
    <col min="2" max="3" width="17.46484375" customWidth="1"/>
    <col min="5" max="5" width="32.53125" customWidth="1"/>
    <col min="7" max="7" width="27.33203125" style="12" customWidth="1"/>
    <col min="8" max="8" width="11.6640625" style="14" customWidth="1"/>
    <col min="9" max="9" width="6.33203125" customWidth="1"/>
  </cols>
  <sheetData>
    <row r="1" spans="1:10" x14ac:dyDescent="0.45">
      <c r="A1" t="s">
        <v>2301</v>
      </c>
      <c r="B1" t="s">
        <v>1789</v>
      </c>
      <c r="C1" t="s">
        <v>1790</v>
      </c>
      <c r="G1" s="11" t="s">
        <v>1795</v>
      </c>
      <c r="H1" s="13" t="s">
        <v>1794</v>
      </c>
    </row>
    <row r="2" spans="1:10" x14ac:dyDescent="0.45">
      <c r="A2" t="s">
        <v>1577</v>
      </c>
      <c r="B2">
        <v>0</v>
      </c>
      <c r="C2">
        <v>0</v>
      </c>
      <c r="E2" t="s">
        <v>1793</v>
      </c>
      <c r="G2" s="12" t="str" cm="1">
        <f t="array" ref="G2:G38">_xlfn._xlws.SORT(_xlfn.UNIQUE(_xlfn._xlws.FILTER('Raw Data'!F2:F501,'Raw Data'!F2:F501&lt;&gt;"")))</f>
        <v>Acquapend.te</v>
      </c>
      <c r="H2" s="14" t="str">
        <f>IF(COUNTIF($A:$A,G2)=0,"NEW","")</f>
        <v/>
      </c>
      <c r="J2" t="s">
        <v>1792</v>
      </c>
    </row>
    <row r="3" spans="1:10" x14ac:dyDescent="0.45">
      <c r="A3" t="s">
        <v>1779</v>
      </c>
      <c r="B3">
        <v>0</v>
      </c>
      <c r="C3">
        <v>0</v>
      </c>
      <c r="G3" s="12" t="str">
        <v>Ambrogiana</v>
      </c>
      <c r="H3" s="14" t="str">
        <f>IF(COUNTIF($A:$A,G3)=0,"NEW","")</f>
        <v/>
      </c>
    </row>
    <row r="4" spans="1:10" x14ac:dyDescent="0.45">
      <c r="A4" t="s">
        <v>1447</v>
      </c>
      <c r="B4">
        <v>0</v>
      </c>
      <c r="C4">
        <v>0</v>
      </c>
      <c r="G4" s="12" t="str">
        <v>Cafaggiuolo</v>
      </c>
      <c r="H4" s="14" t="str">
        <f>IF(COUNTIF($A:$A,G4)=0,"NEW","")</f>
        <v/>
      </c>
    </row>
    <row r="5" spans="1:10" x14ac:dyDescent="0.45">
      <c r="A5" t="s">
        <v>1538</v>
      </c>
      <c r="B5">
        <v>42.745150736491603</v>
      </c>
      <c r="C5">
        <v>11.8639826068317</v>
      </c>
      <c r="G5" s="12" t="str">
        <v>Camerino</v>
      </c>
      <c r="H5" s="14" t="str">
        <f>IF(COUNTIF($A:$A,G5)=0,"NEW","")</f>
        <v/>
      </c>
    </row>
    <row r="6" spans="1:10" x14ac:dyDescent="0.45">
      <c r="A6" t="s">
        <v>1766</v>
      </c>
      <c r="B6">
        <v>0</v>
      </c>
      <c r="C6">
        <v>0</v>
      </c>
      <c r="G6" s="12" t="str">
        <v>Case Nuove</v>
      </c>
      <c r="H6" s="14" t="str">
        <f>IF(COUNTIF($A:$A,G6)=0,"NEW","")</f>
        <v/>
      </c>
    </row>
    <row r="7" spans="1:10" x14ac:dyDescent="0.45">
      <c r="A7" t="s">
        <v>503</v>
      </c>
      <c r="B7">
        <v>43.731061509702798</v>
      </c>
      <c r="C7">
        <v>11.014484766215199</v>
      </c>
      <c r="G7" s="12" t="str">
        <v>Cortona</v>
      </c>
      <c r="H7" s="14" t="str">
        <f>IF(COUNTIF($A:$A,G7)=0,"NEW","")</f>
        <v/>
      </c>
    </row>
    <row r="8" spans="1:10" x14ac:dyDescent="0.45">
      <c r="A8" t="s">
        <v>296</v>
      </c>
      <c r="B8">
        <v>43.463114836896203</v>
      </c>
      <c r="C8">
        <v>11.878861740169301</v>
      </c>
      <c r="G8" s="12" t="str">
        <v>Firenze nel Monasterio della Santissima Concezzione</v>
      </c>
      <c r="H8" s="14" t="str">
        <f>IF(COUNTIF($A:$A,G8)=0,"NEW","")</f>
        <v/>
      </c>
    </row>
    <row r="9" spans="1:10" x14ac:dyDescent="0.45">
      <c r="A9" t="s">
        <v>1589</v>
      </c>
      <c r="B9">
        <v>0</v>
      </c>
      <c r="C9">
        <v>0</v>
      </c>
      <c r="G9" s="12" t="str">
        <v>Firenze/Fiorenza</v>
      </c>
      <c r="H9" s="14" t="str">
        <f>IF(COUNTIF($A:$A,G9)=0,"NEW","")</f>
        <v/>
      </c>
    </row>
    <row r="10" spans="1:10" x14ac:dyDescent="0.45">
      <c r="A10" t="s">
        <v>253</v>
      </c>
      <c r="B10">
        <v>43.750267171589698</v>
      </c>
      <c r="C10">
        <v>11.247396239149801</v>
      </c>
      <c r="G10" s="12" t="str">
        <v>Fuligno</v>
      </c>
      <c r="H10" s="14" t="str">
        <f>IF(COUNTIF($A:$A,G10)=0,"NEW","")</f>
        <v/>
      </c>
    </row>
    <row r="11" spans="1:10" x14ac:dyDescent="0.45">
      <c r="A11" t="s">
        <v>1778</v>
      </c>
      <c r="B11">
        <v>45.694351903218603</v>
      </c>
      <c r="C11">
        <v>9.6698330871059106</v>
      </c>
      <c r="G11" s="12" t="str">
        <v>Giglio</v>
      </c>
      <c r="H11" s="14" t="str">
        <f>IF(COUNTIF($A:$A,G11)=0,"NEW","")</f>
        <v/>
      </c>
    </row>
    <row r="12" spans="1:10" x14ac:dyDescent="0.45">
      <c r="A12" t="s">
        <v>1574</v>
      </c>
      <c r="B12">
        <v>44.493630523160199</v>
      </c>
      <c r="C12">
        <v>11.338539598769399</v>
      </c>
      <c r="G12" s="12" t="str">
        <v>Gross[ett]o</v>
      </c>
      <c r="H12" s="14" t="str">
        <f>IF(COUNTIF($A:$A,G12)=0,"NEW","")</f>
        <v/>
      </c>
    </row>
    <row r="13" spans="1:10" x14ac:dyDescent="0.45">
      <c r="A13" t="s">
        <v>1575</v>
      </c>
      <c r="B13">
        <v>0</v>
      </c>
      <c r="C13">
        <v>0</v>
      </c>
      <c r="G13" s="12" t="str">
        <v>Grosseto</v>
      </c>
      <c r="H13" s="14" t="str">
        <f>IF(COUNTIF($A:$A,G13)=0,"NEW","")</f>
        <v/>
      </c>
    </row>
    <row r="14" spans="1:10" x14ac:dyDescent="0.45">
      <c r="A14" t="s">
        <v>1781</v>
      </c>
      <c r="B14">
        <v>44.4877314929983</v>
      </c>
      <c r="C14">
        <v>9.7675633676055291</v>
      </c>
      <c r="G14" s="12" t="str">
        <v>Guglio</v>
      </c>
      <c r="H14" s="14" t="str">
        <f>IF(COUNTIF($A:$A,G14)=0,"NEW","")</f>
        <v/>
      </c>
    </row>
    <row r="15" spans="1:10" x14ac:dyDescent="0.45">
      <c r="A15" t="s">
        <v>1767</v>
      </c>
      <c r="B15">
        <v>45.358073313872197</v>
      </c>
      <c r="C15">
        <v>8.46615449940475</v>
      </c>
      <c r="G15" s="12" t="str">
        <v>Illegible</v>
      </c>
      <c r="H15" s="14" t="str">
        <f>IF(COUNTIF($A:$A,G15)=0,"NEW","")</f>
        <v/>
      </c>
    </row>
    <row r="16" spans="1:10" x14ac:dyDescent="0.45">
      <c r="A16" t="s">
        <v>609</v>
      </c>
      <c r="B16">
        <v>42.103389187487601</v>
      </c>
      <c r="C16">
        <v>12.1751038298735</v>
      </c>
      <c r="G16" s="12" t="str">
        <v>Livorno</v>
      </c>
      <c r="H16" s="14" t="str">
        <f>IF(COUNTIF($A:$A,G16)=0,"NEW","")</f>
        <v/>
      </c>
    </row>
    <row r="17" spans="1:8" x14ac:dyDescent="0.45">
      <c r="A17" t="s">
        <v>1773</v>
      </c>
      <c r="B17">
        <v>0</v>
      </c>
      <c r="C17">
        <v>0</v>
      </c>
      <c r="G17" s="12" t="str">
        <v>M. Puli.no</v>
      </c>
      <c r="H17" s="14" t="str">
        <f>IF(COUNTIF($A:$A,G17)=0,"NEW","")</f>
        <v/>
      </c>
    </row>
    <row r="18" spans="1:8" x14ac:dyDescent="0.45">
      <c r="A18" t="s">
        <v>104</v>
      </c>
      <c r="B18">
        <v>43.963866003022503</v>
      </c>
      <c r="C18">
        <v>11.293955237890399</v>
      </c>
      <c r="G18" s="12" t="str">
        <v>Maccerati(?)</v>
      </c>
      <c r="H18" s="14" t="str">
        <f>IF(COUNTIF($A:$A,G18)=0,"NEW","")</f>
        <v/>
      </c>
    </row>
    <row r="19" spans="1:8" x14ac:dyDescent="0.45">
      <c r="A19" t="s">
        <v>1647</v>
      </c>
      <c r="B19">
        <v>43.137836364893403</v>
      </c>
      <c r="C19">
        <v>13.0729129154824</v>
      </c>
      <c r="G19" s="12" t="str">
        <v>Macerata</v>
      </c>
      <c r="H19" s="14" t="str">
        <f>IF(COUNTIF($A:$A,G19)=0,"NEW","")</f>
        <v/>
      </c>
    </row>
    <row r="20" spans="1:8" x14ac:dyDescent="0.45">
      <c r="A20" t="s">
        <v>1768</v>
      </c>
      <c r="B20">
        <v>44.9009800458429</v>
      </c>
      <c r="C20">
        <v>8.2055874655426901</v>
      </c>
      <c r="G20" s="12" t="str">
        <v>Mantova</v>
      </c>
      <c r="H20" s="14" t="str">
        <f>IF(COUNTIF($A:$A,G20)=0,"NEW","")</f>
        <v/>
      </c>
    </row>
    <row r="21" spans="1:8" x14ac:dyDescent="0.45">
      <c r="A21" t="s">
        <v>1770</v>
      </c>
      <c r="B21">
        <v>43.742655695332303</v>
      </c>
      <c r="C21">
        <v>11.6574376219953</v>
      </c>
      <c r="G21" s="12" t="str">
        <v>Napoli</v>
      </c>
      <c r="H21" s="14" t="str">
        <f>IF(COUNTIF($A:$A,G21)=0,"NEW","")</f>
        <v/>
      </c>
    </row>
    <row r="22" spans="1:8" x14ac:dyDescent="0.45">
      <c r="A22" t="s">
        <v>1583</v>
      </c>
      <c r="B22">
        <v>43.809379938024101</v>
      </c>
      <c r="C22">
        <v>11.2494956238101</v>
      </c>
      <c r="G22" s="12" t="str">
        <v>Palazzo Pitti</v>
      </c>
      <c r="H22" s="14" t="str">
        <f>IF(COUNTIF($A:$A,G22)=0,"NEW","")</f>
        <v/>
      </c>
    </row>
    <row r="23" spans="1:8" x14ac:dyDescent="0.45">
      <c r="A23" t="s">
        <v>1644</v>
      </c>
      <c r="B23">
        <v>0</v>
      </c>
      <c r="C23">
        <v>0</v>
      </c>
      <c r="G23" s="12" t="str">
        <v>Parma</v>
      </c>
      <c r="H23" s="14" t="str">
        <f>IF(COUNTIF($A:$A,G23)=0,"NEW","")</f>
        <v/>
      </c>
    </row>
    <row r="24" spans="1:8" x14ac:dyDescent="0.45">
      <c r="A24" t="s">
        <v>612</v>
      </c>
      <c r="B24">
        <v>43.7148785999034</v>
      </c>
      <c r="C24">
        <v>12.620396342758101</v>
      </c>
      <c r="G24" s="12" t="str">
        <v>Perugia</v>
      </c>
      <c r="H24" s="14" t="str">
        <f>IF(COUNTIF($A:$A,G24)=0,"NEW","")</f>
        <v/>
      </c>
    </row>
    <row r="25" spans="1:8" x14ac:dyDescent="0.45">
      <c r="A25" t="s">
        <v>1449</v>
      </c>
      <c r="B25">
        <v>0</v>
      </c>
      <c r="C25">
        <v>0</v>
      </c>
      <c r="G25" s="12" t="str">
        <v>Pisa</v>
      </c>
      <c r="H25" s="14" t="str">
        <f>IF(COUNTIF($A:$A,G25)=0,"NEW","")</f>
        <v/>
      </c>
    </row>
    <row r="26" spans="1:8" x14ac:dyDescent="0.45">
      <c r="A26" t="s">
        <v>1774</v>
      </c>
      <c r="B26">
        <v>45.8055019981405</v>
      </c>
      <c r="C26">
        <v>9.0849990465750103</v>
      </c>
      <c r="G26" s="12" t="str">
        <v>Roma</v>
      </c>
      <c r="H26" s="14" t="str">
        <f>IF(COUNTIF($A:$A,G26)=0,"NEW","")</f>
        <v/>
      </c>
    </row>
    <row r="27" spans="1:8" x14ac:dyDescent="0.45">
      <c r="A27" t="s">
        <v>596</v>
      </c>
      <c r="B27">
        <v>49.4174227044197</v>
      </c>
      <c r="C27">
        <v>2.8255525969370501</v>
      </c>
      <c r="G27" s="12" t="str">
        <v>Santa Casa</v>
      </c>
      <c r="H27" s="14" t="str">
        <f>IF(COUNTIF($A:$A,G27)=0,"NEW","")</f>
        <v/>
      </c>
    </row>
    <row r="28" spans="1:8" x14ac:dyDescent="0.45">
      <c r="A28" t="s">
        <v>1620</v>
      </c>
      <c r="B28">
        <v>43.274837025321901</v>
      </c>
      <c r="C28">
        <v>11.985709335848499</v>
      </c>
      <c r="G28" s="12" t="str">
        <v>Sartirana</v>
      </c>
      <c r="H28" s="14" t="str">
        <f>IF(COUNTIF($A:$A,G28)=0,"NEW","")</f>
        <v/>
      </c>
    </row>
    <row r="29" spans="1:8" x14ac:dyDescent="0.45">
      <c r="A29" t="s">
        <v>1772</v>
      </c>
      <c r="B29">
        <v>45.133962322945003</v>
      </c>
      <c r="C29">
        <v>10.0246559141587</v>
      </c>
      <c r="G29" s="12" t="str">
        <v>Serravezza</v>
      </c>
      <c r="H29" s="14" t="str">
        <f>IF(COUNTIF($A:$A,G29)=0,"NEW","")</f>
        <v/>
      </c>
    </row>
    <row r="30" spans="1:8" x14ac:dyDescent="0.45">
      <c r="A30" t="s">
        <v>1603</v>
      </c>
      <c r="B30">
        <v>47.854000386562198</v>
      </c>
      <c r="C30">
        <v>7.3576348853463998</v>
      </c>
      <c r="G30" s="12" t="str">
        <v>Sertana</v>
      </c>
      <c r="H30" s="14" t="str">
        <f>IF(COUNTIF($A:$A,G30)=0,"NEW","")</f>
        <v/>
      </c>
    </row>
    <row r="31" spans="1:8" x14ac:dyDescent="0.45">
      <c r="A31" t="s">
        <v>1784</v>
      </c>
      <c r="B31">
        <v>0</v>
      </c>
      <c r="C31">
        <v>0</v>
      </c>
      <c r="G31" s="12" t="str">
        <v>Siena</v>
      </c>
      <c r="H31" s="14" t="str">
        <f>IF(COUNTIF($A:$A,G31)=0,"NEW","")</f>
        <v/>
      </c>
    </row>
    <row r="32" spans="1:8" x14ac:dyDescent="0.45">
      <c r="A32" t="s">
        <v>1602</v>
      </c>
      <c r="B32">
        <v>43.774665987001399</v>
      </c>
      <c r="C32">
        <v>11.2470152763676</v>
      </c>
      <c r="G32" s="12" t="str">
        <v>Soriano</v>
      </c>
      <c r="H32" s="14" t="str">
        <f>IF(COUNTIF($A:$A,G32)=0,"NEW","")</f>
        <v/>
      </c>
    </row>
    <row r="33" spans="1:8" x14ac:dyDescent="0.45">
      <c r="A33" t="s">
        <v>291</v>
      </c>
      <c r="B33">
        <v>43.773821664204803</v>
      </c>
      <c r="C33">
        <v>11.2555362617661</v>
      </c>
      <c r="G33" s="12" t="str">
        <v>Susa</v>
      </c>
      <c r="H33" s="14" t="str">
        <f>IF(COUNTIF($A:$A,G33)=0,"NEW","")</f>
        <v/>
      </c>
    </row>
    <row r="34" spans="1:8" x14ac:dyDescent="0.45">
      <c r="A34" t="s">
        <v>176</v>
      </c>
      <c r="B34">
        <v>44.2387039741864</v>
      </c>
      <c r="C34">
        <v>10.124933072077001</v>
      </c>
      <c r="G34" s="12" t="str">
        <v>Tolentino</v>
      </c>
      <c r="H34" s="14" t="str">
        <f>IF(COUNTIF($A:$A,G34)=0,"NEW","")</f>
        <v/>
      </c>
    </row>
    <row r="35" spans="1:8" x14ac:dyDescent="0.45">
      <c r="A35" t="s">
        <v>587</v>
      </c>
      <c r="B35">
        <v>48.404513248775501</v>
      </c>
      <c r="C35">
        <v>2.6988040903297299</v>
      </c>
      <c r="G35" s="12" t="str">
        <v>Unknown</v>
      </c>
      <c r="H35" s="14" t="str">
        <f>IF(COUNTIF($A:$A,G35)=0,"NEW","")</f>
        <v/>
      </c>
    </row>
    <row r="36" spans="1:8" x14ac:dyDescent="0.45">
      <c r="A36" t="s">
        <v>1776</v>
      </c>
      <c r="B36">
        <v>44.135304952700103</v>
      </c>
      <c r="C36">
        <v>10.020472022333299</v>
      </c>
      <c r="G36" s="12" t="str">
        <v>Villa a Bagnuolo</v>
      </c>
      <c r="H36" s="14" t="str">
        <f>IF(COUNTIF($A:$A,G36)=0,"NEW","")</f>
        <v/>
      </c>
    </row>
    <row r="37" spans="1:8" x14ac:dyDescent="0.45">
      <c r="A37" t="s">
        <v>1638</v>
      </c>
      <c r="B37">
        <v>42.950970884409202</v>
      </c>
      <c r="C37">
        <v>12.701172673566299</v>
      </c>
      <c r="G37" s="12" t="str">
        <v>Villa de Baroncelli</v>
      </c>
      <c r="H37" s="14" t="str">
        <f>IF(COUNTIF($A:$A,G37)=0,"NEW","")</f>
        <v/>
      </c>
    </row>
    <row r="38" spans="1:8" x14ac:dyDescent="0.45">
      <c r="A38" t="s">
        <v>1591</v>
      </c>
      <c r="B38">
        <v>44.409884930466497</v>
      </c>
      <c r="C38">
        <v>8.9364925517764995</v>
      </c>
      <c r="G38" s="12" t="str">
        <v>Villa Poggio Imperiale</v>
      </c>
      <c r="H38" s="14" t="str">
        <f>IF(COUNTIF($A:$A,G38)=0,"NEW","")</f>
        <v/>
      </c>
    </row>
    <row r="39" spans="1:8" x14ac:dyDescent="0.45">
      <c r="A39" t="s">
        <v>863</v>
      </c>
      <c r="B39">
        <v>42.360515010118696</v>
      </c>
      <c r="C39">
        <v>10.901170501753599</v>
      </c>
      <c r="H39" s="14" t="str">
        <f>IF(COUNTIF($A:$A,G39)=0,"NEW","")</f>
        <v>NEW</v>
      </c>
    </row>
    <row r="40" spans="1:8" x14ac:dyDescent="0.45">
      <c r="A40" t="s">
        <v>1764</v>
      </c>
      <c r="B40">
        <v>45.891300341224202</v>
      </c>
      <c r="C40">
        <v>13.4946551427384</v>
      </c>
      <c r="H40" s="14" t="str">
        <f>IF(COUNTIF($A:$A,G40)=0,"NEW","")</f>
        <v>NEW</v>
      </c>
    </row>
    <row r="41" spans="1:8" x14ac:dyDescent="0.45">
      <c r="A41" t="s">
        <v>1025</v>
      </c>
      <c r="B41">
        <v>42.763567464085199</v>
      </c>
      <c r="C41">
        <v>11.110316226026001</v>
      </c>
      <c r="H41" s="14" t="str">
        <f>IF(COUNTIF($A:$A,G41)=0,"NEW","")</f>
        <v>NEW</v>
      </c>
    </row>
    <row r="42" spans="1:8" x14ac:dyDescent="0.45">
      <c r="A42" t="s">
        <v>1393</v>
      </c>
      <c r="B42">
        <v>42.763567464085199</v>
      </c>
      <c r="C42">
        <v>11.110316226026001</v>
      </c>
      <c r="H42" s="14" t="str">
        <f>IF(COUNTIF($A:$A,G42)=0,"NEW","")</f>
        <v>NEW</v>
      </c>
    </row>
    <row r="43" spans="1:8" x14ac:dyDescent="0.45">
      <c r="A43" t="s">
        <v>1218</v>
      </c>
      <c r="B43">
        <v>42.360515010118696</v>
      </c>
      <c r="C43">
        <v>10.901170501753599</v>
      </c>
      <c r="H43" s="14" t="str">
        <f>IF(COUNTIF($A:$A,G43)=0,"NEW","")</f>
        <v>NEW</v>
      </c>
    </row>
    <row r="44" spans="1:8" x14ac:dyDescent="0.45">
      <c r="A44" t="s">
        <v>245</v>
      </c>
      <c r="B44">
        <v>0</v>
      </c>
      <c r="C44">
        <v>0</v>
      </c>
      <c r="H44" s="14" t="str">
        <f>IF(COUNTIF($A:$A,G44)=0,"NEW","")</f>
        <v>NEW</v>
      </c>
    </row>
    <row r="45" spans="1:8" x14ac:dyDescent="0.45">
      <c r="A45" t="s">
        <v>1576</v>
      </c>
      <c r="B45">
        <v>43.750267171589698</v>
      </c>
      <c r="C45">
        <v>11.247396239149801</v>
      </c>
      <c r="H45" s="14" t="str">
        <f>IF(COUNTIF($A:$A,G45)=0,"NEW","")</f>
        <v>NEW</v>
      </c>
    </row>
    <row r="46" spans="1:8" x14ac:dyDescent="0.45">
      <c r="A46" t="s">
        <v>1594</v>
      </c>
      <c r="B46">
        <v>43.685830460973797</v>
      </c>
      <c r="C46">
        <v>11.2540962034569</v>
      </c>
      <c r="H46" s="14" t="str">
        <f>IF(COUNTIF($A:$A,G46)=0,"NEW","")</f>
        <v>NEW</v>
      </c>
    </row>
    <row r="47" spans="1:8" x14ac:dyDescent="0.45">
      <c r="A47" t="s">
        <v>1584</v>
      </c>
      <c r="B47">
        <v>43.685830460973797</v>
      </c>
      <c r="C47">
        <v>11.2540962034569</v>
      </c>
      <c r="H47" s="14" t="str">
        <f>IF(COUNTIF($A:$A,G47)=0,"NEW","")</f>
        <v>NEW</v>
      </c>
    </row>
    <row r="48" spans="1:8" x14ac:dyDescent="0.45">
      <c r="A48" t="s">
        <v>1600</v>
      </c>
      <c r="B48">
        <v>47.2661140278068</v>
      </c>
      <c r="C48">
        <v>11.3924657758766</v>
      </c>
      <c r="H48" s="14" t="str">
        <f>IF(COUNTIF($A:$A,G48)=0,"NEW","")</f>
        <v>NEW</v>
      </c>
    </row>
    <row r="49" spans="1:8" x14ac:dyDescent="0.45">
      <c r="A49" t="s">
        <v>1758</v>
      </c>
      <c r="B49">
        <v>44.801471999999997</v>
      </c>
      <c r="C49">
        <v>10.327999999999999</v>
      </c>
      <c r="H49" s="14" t="str">
        <f>IF(COUNTIF($A:$A,G49)=0,"NEW","")</f>
        <v>NEW</v>
      </c>
    </row>
    <row r="50" spans="1:8" x14ac:dyDescent="0.45">
      <c r="A50" t="s">
        <v>175</v>
      </c>
      <c r="B50">
        <v>43.551047066324003</v>
      </c>
      <c r="C50">
        <v>10.3067361500906</v>
      </c>
      <c r="H50" s="14" t="str">
        <f>IF(COUNTIF($A:$A,G50)=0,"NEW","")</f>
        <v>NEW</v>
      </c>
    </row>
    <row r="51" spans="1:8" x14ac:dyDescent="0.45">
      <c r="A51" t="s">
        <v>210</v>
      </c>
      <c r="B51">
        <v>49.766845591187497</v>
      </c>
      <c r="C51">
        <v>6.0849388570493597</v>
      </c>
      <c r="H51" s="14" t="str">
        <f>IF(COUNTIF($A:$A,G51)=0,"NEW","")</f>
        <v>NEW</v>
      </c>
    </row>
    <row r="52" spans="1:8" x14ac:dyDescent="0.45">
      <c r="A52" t="s">
        <v>177</v>
      </c>
      <c r="B52">
        <v>44.2953139457316</v>
      </c>
      <c r="C52">
        <v>9.9508460464043509</v>
      </c>
      <c r="H52" s="14" t="str">
        <f>IF(COUNTIF($A:$A,G52)=0,"NEW","")</f>
        <v>NEW</v>
      </c>
    </row>
    <row r="53" spans="1:8" x14ac:dyDescent="0.45">
      <c r="A53" t="s">
        <v>839</v>
      </c>
      <c r="B53">
        <v>43.867516648251403</v>
      </c>
      <c r="C53">
        <v>12.365874400461299</v>
      </c>
      <c r="H53" s="14" t="str">
        <f>IF(COUNTIF($A:$A,G53)=0,"NEW","")</f>
        <v>NEW</v>
      </c>
    </row>
    <row r="54" spans="1:8" x14ac:dyDescent="0.45">
      <c r="A54" t="s">
        <v>1663</v>
      </c>
      <c r="B54">
        <v>43.299361166941502</v>
      </c>
      <c r="C54">
        <v>13.4480972379504</v>
      </c>
      <c r="H54" s="14" t="str">
        <f>IF(COUNTIF($A:$A,G54)=0,"NEW","")</f>
        <v>NEW</v>
      </c>
    </row>
    <row r="55" spans="1:8" x14ac:dyDescent="0.45">
      <c r="A55" t="s">
        <v>1650</v>
      </c>
      <c r="B55">
        <v>43.299361166941502</v>
      </c>
      <c r="C55">
        <v>13.4480972379504</v>
      </c>
      <c r="H55" s="14" t="str">
        <f>IF(COUNTIF($A:$A,G55)=0,"NEW","")</f>
        <v>NEW</v>
      </c>
    </row>
    <row r="56" spans="1:8" x14ac:dyDescent="0.45">
      <c r="A56" t="s">
        <v>610</v>
      </c>
      <c r="B56">
        <v>40.414489174609798</v>
      </c>
      <c r="C56">
        <v>-3.6933218712946201</v>
      </c>
      <c r="H56" s="14" t="str">
        <f>IF(COUNTIF($A:$A,G56)=0,"NEW","")</f>
        <v>NEW</v>
      </c>
    </row>
    <row r="57" spans="1:8" x14ac:dyDescent="0.45">
      <c r="A57" t="s">
        <v>50</v>
      </c>
      <c r="B57">
        <v>45.156437254514501</v>
      </c>
      <c r="C57">
        <v>10.7914436839782</v>
      </c>
      <c r="H57" s="14" t="str">
        <f>IF(COUNTIF($A:$A,G57)=0,"NEW","")</f>
        <v>NEW</v>
      </c>
    </row>
    <row r="58" spans="1:8" x14ac:dyDescent="0.45">
      <c r="A58" t="s">
        <v>1769</v>
      </c>
      <c r="B58">
        <v>45.596647503438497</v>
      </c>
      <c r="C58">
        <v>8.2201124734933497</v>
      </c>
      <c r="H58" s="14" t="str">
        <f>IF(COUNTIF($A:$A,G58)=0,"NEW","")</f>
        <v>NEW</v>
      </c>
    </row>
    <row r="59" spans="1:8" x14ac:dyDescent="0.45">
      <c r="A59" t="s">
        <v>1762</v>
      </c>
      <c r="B59">
        <v>45.469003806078099</v>
      </c>
      <c r="C59">
        <v>9.1721909387610197</v>
      </c>
      <c r="H59" s="14" t="str">
        <f>IF(COUNTIF($A:$A,G59)=0,"NEW","")</f>
        <v>NEW</v>
      </c>
    </row>
    <row r="60" spans="1:8" x14ac:dyDescent="0.45">
      <c r="A60" t="s">
        <v>1783</v>
      </c>
      <c r="B60">
        <v>44.647128153385196</v>
      </c>
      <c r="C60">
        <v>10.923779710868599</v>
      </c>
      <c r="H60" s="14" t="str">
        <f>IF(COUNTIF($A:$A,G60)=0,"NEW","")</f>
        <v>NEW</v>
      </c>
    </row>
    <row r="61" spans="1:8" x14ac:dyDescent="0.45">
      <c r="A61" t="s">
        <v>320</v>
      </c>
      <c r="B61">
        <v>0</v>
      </c>
      <c r="C61">
        <v>0</v>
      </c>
      <c r="H61" s="14" t="str">
        <f>IF(COUNTIF($A:$A,G61)=0,"NEW","")</f>
        <v>NEW</v>
      </c>
    </row>
    <row r="62" spans="1:8" x14ac:dyDescent="0.45">
      <c r="A62" t="s">
        <v>1573</v>
      </c>
      <c r="B62">
        <v>0</v>
      </c>
      <c r="C62">
        <v>0</v>
      </c>
      <c r="H62" s="14" t="str">
        <f>IF(COUNTIF($A:$A,G62)=0,"NEW","")</f>
        <v>NEW</v>
      </c>
    </row>
    <row r="63" spans="1:8" x14ac:dyDescent="0.45">
      <c r="A63" t="s">
        <v>1782</v>
      </c>
      <c r="B63">
        <v>0</v>
      </c>
      <c r="C63">
        <v>0</v>
      </c>
      <c r="H63" s="14" t="str">
        <f>IF(COUNTIF($A:$A,G63)=0,"NEW","")</f>
        <v>NEW</v>
      </c>
    </row>
    <row r="64" spans="1:8" x14ac:dyDescent="0.45">
      <c r="A64" t="s">
        <v>1597</v>
      </c>
      <c r="B64">
        <v>0</v>
      </c>
      <c r="C64">
        <v>0</v>
      </c>
      <c r="H64" s="14" t="str">
        <f>IF(COUNTIF($A:$A,G64)=0,"NEW","")</f>
        <v>NEW</v>
      </c>
    </row>
    <row r="65" spans="1:8" x14ac:dyDescent="0.45">
      <c r="A65" t="s">
        <v>185</v>
      </c>
      <c r="B65">
        <v>40.848961755168702</v>
      </c>
      <c r="C65">
        <v>14.271792379340599</v>
      </c>
      <c r="H65" s="14" t="str">
        <f>IF(COUNTIF($A:$A,G65)=0,"NEW","")</f>
        <v>NEW</v>
      </c>
    </row>
    <row r="66" spans="1:8" x14ac:dyDescent="0.45">
      <c r="A66" t="s">
        <v>1777</v>
      </c>
      <c r="B66">
        <v>45.446092243419599</v>
      </c>
      <c r="C66">
        <v>8.6178378296896607</v>
      </c>
      <c r="H66" s="14" t="str">
        <f>IF(COUNTIF($A:$A,G66)=0,"NEW","")</f>
        <v>NEW</v>
      </c>
    </row>
    <row r="67" spans="1:8" x14ac:dyDescent="0.45">
      <c r="A67" t="s">
        <v>1579</v>
      </c>
      <c r="B67">
        <v>0</v>
      </c>
      <c r="C67">
        <v>0</v>
      </c>
      <c r="H67" s="14" t="str">
        <f>IF(COUNTIF($A:$A,G67)=0,"NEW","")</f>
        <v>NEW</v>
      </c>
    </row>
    <row r="68" spans="1:8" x14ac:dyDescent="0.45">
      <c r="A68" t="s">
        <v>328</v>
      </c>
      <c r="B68">
        <v>43.765184263861499</v>
      </c>
      <c r="C68">
        <v>11.2499973679862</v>
      </c>
      <c r="H68" s="14" t="str">
        <f>IF(COUNTIF($A:$A,G68)=0,"NEW","")</f>
        <v>NEW</v>
      </c>
    </row>
    <row r="69" spans="1:8" x14ac:dyDescent="0.45">
      <c r="A69" t="s">
        <v>576</v>
      </c>
      <c r="B69">
        <v>48.858655455939797</v>
      </c>
      <c r="C69">
        <v>2.3491599391180298</v>
      </c>
      <c r="H69" s="14" t="str">
        <f>IF(COUNTIF($A:$A,G69)=0,"NEW","")</f>
        <v>NEW</v>
      </c>
    </row>
    <row r="70" spans="1:8" x14ac:dyDescent="0.45">
      <c r="A70" t="s">
        <v>178</v>
      </c>
      <c r="B70">
        <v>44.801471999999997</v>
      </c>
      <c r="C70">
        <v>10.327999999999999</v>
      </c>
      <c r="H70" s="14" t="str">
        <f>IF(COUNTIF($A:$A,G70)=0,"NEW","")</f>
        <v>NEW</v>
      </c>
    </row>
    <row r="71" spans="1:8" x14ac:dyDescent="0.45">
      <c r="A71" t="s">
        <v>1771</v>
      </c>
      <c r="B71">
        <v>45.190638107158797</v>
      </c>
      <c r="C71">
        <v>9.1558920800441896</v>
      </c>
      <c r="H71" s="14" t="str">
        <f>IF(COUNTIF($A:$A,G71)=0,"NEW","")</f>
        <v>NEW</v>
      </c>
    </row>
    <row r="72" spans="1:8" x14ac:dyDescent="0.45">
      <c r="A72" t="s">
        <v>990</v>
      </c>
      <c r="B72">
        <v>43.104930797885402</v>
      </c>
      <c r="C72">
        <v>12.387000247888899</v>
      </c>
      <c r="H72" s="14" t="str">
        <f>IF(COUNTIF($A:$A,G72)=0,"NEW","")</f>
        <v>NEW</v>
      </c>
    </row>
    <row r="73" spans="1:8" x14ac:dyDescent="0.45">
      <c r="A73" t="s">
        <v>299</v>
      </c>
      <c r="B73">
        <v>43.9105804845546</v>
      </c>
      <c r="C73">
        <v>12.9116484185313</v>
      </c>
      <c r="H73" s="14" t="str">
        <f>IF(COUNTIF($A:$A,G73)=0,"NEW","")</f>
        <v>NEW</v>
      </c>
    </row>
    <row r="74" spans="1:8" x14ac:dyDescent="0.45">
      <c r="A74" t="s">
        <v>1760</v>
      </c>
      <c r="B74">
        <v>45.053745106627098</v>
      </c>
      <c r="C74">
        <v>9.6947032331983607</v>
      </c>
      <c r="H74" s="14" t="str">
        <f>IF(COUNTIF($A:$A,G74)=0,"NEW","")</f>
        <v>NEW</v>
      </c>
    </row>
    <row r="75" spans="1:8" x14ac:dyDescent="0.45">
      <c r="A75" t="s">
        <v>27</v>
      </c>
      <c r="B75">
        <v>43.722514463828503</v>
      </c>
      <c r="C75">
        <v>10.3960522879613</v>
      </c>
      <c r="H75" s="14" t="str">
        <f>IF(COUNTIF($A:$A,G75)=0,"NEW","")</f>
        <v>NEW</v>
      </c>
    </row>
    <row r="76" spans="1:8" x14ac:dyDescent="0.45">
      <c r="A76" t="s">
        <v>174</v>
      </c>
      <c r="B76">
        <v>43.929725207508497</v>
      </c>
      <c r="C76">
        <v>10.9077143787241</v>
      </c>
      <c r="H76" s="14" t="str">
        <f>IF(COUNTIF($A:$A,G76)=0,"NEW","")</f>
        <v>NEW</v>
      </c>
    </row>
    <row r="77" spans="1:8" x14ac:dyDescent="0.45">
      <c r="A77" t="s">
        <v>1598</v>
      </c>
      <c r="B77">
        <v>0</v>
      </c>
      <c r="C77">
        <v>0</v>
      </c>
      <c r="H77" s="14" t="str">
        <f>IF(COUNTIF($A:$A,G77)=0,"NEW","")</f>
        <v>NEW</v>
      </c>
    </row>
    <row r="78" spans="1:8" x14ac:dyDescent="0.45">
      <c r="A78" t="s">
        <v>282</v>
      </c>
      <c r="B78">
        <v>0</v>
      </c>
      <c r="C78">
        <v>0</v>
      </c>
      <c r="H78" s="14" t="str">
        <f>IF(COUNTIF($A:$A,G78)=0,"NEW","")</f>
        <v>NEW</v>
      </c>
    </row>
    <row r="79" spans="1:8" x14ac:dyDescent="0.45">
      <c r="A79" t="s">
        <v>1585</v>
      </c>
      <c r="B79">
        <v>43.862422543645799</v>
      </c>
      <c r="C79">
        <v>11.3007007845133</v>
      </c>
      <c r="H79" s="14" t="str">
        <f>IF(COUNTIF($A:$A,G79)=0,"NEW","")</f>
        <v>NEW</v>
      </c>
    </row>
    <row r="80" spans="1:8" x14ac:dyDescent="0.45">
      <c r="A80" t="s">
        <v>1761</v>
      </c>
      <c r="B80">
        <v>44.414067717121803</v>
      </c>
      <c r="C80">
        <v>12.1995136462721</v>
      </c>
      <c r="H80" s="14" t="str">
        <f>IF(COUNTIF($A:$A,G80)=0,"NEW","")</f>
        <v>NEW</v>
      </c>
    </row>
    <row r="81" spans="1:8" x14ac:dyDescent="0.45">
      <c r="A81" t="s">
        <v>51</v>
      </c>
      <c r="B81">
        <v>41.899629583830801</v>
      </c>
      <c r="C81">
        <v>12.5678772754165</v>
      </c>
      <c r="H81" s="14" t="str">
        <f>IF(COUNTIF($A:$A,G81)=0,"NEW","")</f>
        <v>NEW</v>
      </c>
    </row>
    <row r="82" spans="1:8" x14ac:dyDescent="0.45">
      <c r="A82" t="s">
        <v>240</v>
      </c>
      <c r="B82">
        <v>41.899629583830801</v>
      </c>
      <c r="C82">
        <v>12.5678772754165</v>
      </c>
      <c r="H82" s="14" t="str">
        <f>IF(COUNTIF($A:$A,G82)=0,"NEW","")</f>
        <v>NEW</v>
      </c>
    </row>
    <row r="83" spans="1:8" x14ac:dyDescent="0.45">
      <c r="A83" t="s">
        <v>1569</v>
      </c>
      <c r="B83">
        <v>0</v>
      </c>
      <c r="C83">
        <v>0</v>
      </c>
      <c r="H83" s="14" t="str">
        <f>IF(COUNTIF($A:$A,G83)=0,"NEW","")</f>
        <v>NEW</v>
      </c>
    </row>
    <row r="84" spans="1:8" x14ac:dyDescent="0.45">
      <c r="A84" t="s">
        <v>1780</v>
      </c>
      <c r="B84">
        <v>0</v>
      </c>
      <c r="C84">
        <v>0</v>
      </c>
      <c r="H84" s="14" t="str">
        <f>IF(COUNTIF($A:$A,G84)=0,"NEW","")</f>
        <v>NEW</v>
      </c>
    </row>
    <row r="85" spans="1:8" x14ac:dyDescent="0.45">
      <c r="A85" t="s">
        <v>1791</v>
      </c>
      <c r="B85">
        <v>42.867183855189303</v>
      </c>
      <c r="C85">
        <v>11.8739035132756</v>
      </c>
      <c r="H85" s="14" t="str">
        <f>IF(COUNTIF($A:$A,G85)=0,"NEW","")</f>
        <v>NEW</v>
      </c>
    </row>
    <row r="86" spans="1:8" x14ac:dyDescent="0.45">
      <c r="A86" t="s">
        <v>1759</v>
      </c>
      <c r="B86">
        <v>44.922855529356497</v>
      </c>
      <c r="C86">
        <v>10.2285315616496</v>
      </c>
      <c r="H86" s="14" t="str">
        <f>IF(COUNTIF($A:$A,G86)=0,"NEW","")</f>
        <v>NEW</v>
      </c>
    </row>
    <row r="87" spans="1:8" x14ac:dyDescent="0.45">
      <c r="A87" t="s">
        <v>1659</v>
      </c>
      <c r="B87">
        <v>43.4411641213837</v>
      </c>
      <c r="C87">
        <v>13.6103720986565</v>
      </c>
      <c r="H87" s="14" t="str">
        <f>IF(COUNTIF($A:$A,G87)=0,"NEW","")</f>
        <v>NEW</v>
      </c>
    </row>
    <row r="88" spans="1:8" x14ac:dyDescent="0.45">
      <c r="A88" t="s">
        <v>1448</v>
      </c>
      <c r="B88">
        <v>0</v>
      </c>
      <c r="C88">
        <v>0</v>
      </c>
      <c r="H88" s="14" t="str">
        <f>IF(COUNTIF($A:$A,G88)=0,"NEW","")</f>
        <v>NEW</v>
      </c>
    </row>
    <row r="89" spans="1:8" x14ac:dyDescent="0.45">
      <c r="A89" t="s">
        <v>1537</v>
      </c>
      <c r="B89">
        <v>0</v>
      </c>
      <c r="C89">
        <v>0</v>
      </c>
      <c r="H89" s="14" t="str">
        <f>IF(COUNTIF($A:$A,G89)=0,"NEW","")</f>
        <v>NEW</v>
      </c>
    </row>
    <row r="90" spans="1:8" x14ac:dyDescent="0.45">
      <c r="A90" t="s">
        <v>520</v>
      </c>
      <c r="B90">
        <v>43.993970654637302</v>
      </c>
      <c r="C90">
        <v>10.231949459353601</v>
      </c>
      <c r="H90" s="14" t="str">
        <f>IF(COUNTIF($A:$A,G90)=0,"NEW","")</f>
        <v>NEW</v>
      </c>
    </row>
    <row r="91" spans="1:8" x14ac:dyDescent="0.45">
      <c r="A91" t="s">
        <v>535</v>
      </c>
      <c r="B91">
        <v>0</v>
      </c>
      <c r="C91">
        <v>0</v>
      </c>
      <c r="H91" s="14" t="str">
        <f>IF(COUNTIF($A:$A,G91)=0,"NEW","")</f>
        <v>NEW</v>
      </c>
    </row>
    <row r="92" spans="1:8" x14ac:dyDescent="0.45">
      <c r="A92" t="s">
        <v>105</v>
      </c>
      <c r="B92">
        <v>43.3184768539152</v>
      </c>
      <c r="C92">
        <v>11.3310792700061</v>
      </c>
      <c r="H92" s="14" t="str">
        <f>IF(COUNTIF($A:$A,G92)=0,"NEW","")</f>
        <v>NEW</v>
      </c>
    </row>
    <row r="93" spans="1:8" x14ac:dyDescent="0.45">
      <c r="A93" t="s">
        <v>1578</v>
      </c>
      <c r="B93">
        <v>0</v>
      </c>
      <c r="C93">
        <v>0</v>
      </c>
      <c r="H93" s="14" t="str">
        <f>IF(COUNTIF($A:$A,G93)=0,"NEW","")</f>
        <v>NEW</v>
      </c>
    </row>
    <row r="94" spans="1:8" x14ac:dyDescent="0.45">
      <c r="A94" t="s">
        <v>1561</v>
      </c>
      <c r="B94">
        <v>42.4188373052272</v>
      </c>
      <c r="C94">
        <v>12.2340729864535</v>
      </c>
      <c r="H94" s="14" t="str">
        <f>IF(COUNTIF($A:$A,G94)=0,"NEW","")</f>
        <v>NEW</v>
      </c>
    </row>
    <row r="95" spans="1:8" x14ac:dyDescent="0.45">
      <c r="A95" t="s">
        <v>589</v>
      </c>
      <c r="B95">
        <v>48.898047412594401</v>
      </c>
      <c r="C95">
        <v>2.0960334355822301</v>
      </c>
      <c r="H95" s="14" t="str">
        <f>IF(COUNTIF($A:$A,G95)=0,"NEW","")</f>
        <v>NEW</v>
      </c>
    </row>
    <row r="96" spans="1:8" x14ac:dyDescent="0.45">
      <c r="A96" t="s">
        <v>1733</v>
      </c>
      <c r="B96">
        <v>45.1385552070453</v>
      </c>
      <c r="C96">
        <v>7.0482742766748903</v>
      </c>
      <c r="H96" s="14" t="str">
        <f>IF(COUNTIF($A:$A,G96)=0,"NEW","")</f>
        <v>NEW</v>
      </c>
    </row>
    <row r="97" spans="1:8" x14ac:dyDescent="0.45">
      <c r="A97" t="s">
        <v>1654</v>
      </c>
      <c r="B97">
        <v>43.208691988684102</v>
      </c>
      <c r="C97">
        <v>13.283854110664301</v>
      </c>
      <c r="H97" s="14" t="str">
        <f>IF(COUNTIF($A:$A,G97)=0,"NEW","")</f>
        <v>NEW</v>
      </c>
    </row>
    <row r="98" spans="1:8" x14ac:dyDescent="0.45">
      <c r="A98" t="s">
        <v>1599</v>
      </c>
      <c r="B98">
        <v>45.067026664729099</v>
      </c>
      <c r="C98">
        <v>7.6863078654196997</v>
      </c>
      <c r="H98" s="14" t="str">
        <f>IF(COUNTIF($A:$A,G98)=0,"NEW","")</f>
        <v>NEW</v>
      </c>
    </row>
    <row r="99" spans="1:8" x14ac:dyDescent="0.45">
      <c r="A99" t="s">
        <v>181</v>
      </c>
      <c r="B99">
        <v>0</v>
      </c>
      <c r="C99">
        <v>0</v>
      </c>
      <c r="H99" s="14" t="str">
        <f>IF(COUNTIF($A:$A,G99)=0,"NEW","")</f>
        <v>NEW</v>
      </c>
    </row>
    <row r="100" spans="1:8" x14ac:dyDescent="0.45">
      <c r="A100" t="s">
        <v>1568</v>
      </c>
      <c r="B100">
        <v>43.726621430850699</v>
      </c>
      <c r="C100">
        <v>12.6360842895345</v>
      </c>
      <c r="H100" s="14" t="str">
        <f>IF(COUNTIF($A:$A,G100)=0,"NEW","")</f>
        <v>NEW</v>
      </c>
    </row>
    <row r="101" spans="1:8" x14ac:dyDescent="0.45">
      <c r="A101" t="s">
        <v>1775</v>
      </c>
      <c r="B101">
        <v>46.172695897152899</v>
      </c>
      <c r="C101">
        <v>9.8742445780643706</v>
      </c>
      <c r="H101" s="14" t="str">
        <f>IF(COUNTIF($A:$A,G101)=0,"NEW","")</f>
        <v>NEW</v>
      </c>
    </row>
    <row r="102" spans="1:8" x14ac:dyDescent="0.45">
      <c r="A102" t="s">
        <v>280</v>
      </c>
      <c r="B102">
        <v>52.237165197143902</v>
      </c>
      <c r="C102">
        <v>21.0308503544038</v>
      </c>
      <c r="H102" s="14" t="str">
        <f>IF(COUNTIF($A:$A,G102)=0,"NEW","")</f>
        <v>NEW</v>
      </c>
    </row>
    <row r="103" spans="1:8" x14ac:dyDescent="0.45">
      <c r="A103" t="s">
        <v>1765</v>
      </c>
      <c r="B103">
        <v>45.4373556221665</v>
      </c>
      <c r="C103">
        <v>12.348691623142701</v>
      </c>
      <c r="H103" s="14" t="str">
        <f>IF(COUNTIF($A:$A,G103)=0,"NEW","")</f>
        <v>NEW</v>
      </c>
    </row>
    <row r="104" spans="1:8" x14ac:dyDescent="0.45">
      <c r="A104" t="s">
        <v>1763</v>
      </c>
      <c r="B104">
        <v>45.4373556221665</v>
      </c>
      <c r="C104">
        <v>12.348691623142701</v>
      </c>
      <c r="H104" s="14" t="str">
        <f>IF(COUNTIF($A:$A,G104)=0,"NEW","")</f>
        <v>NEW</v>
      </c>
    </row>
    <row r="105" spans="1:8" x14ac:dyDescent="0.45">
      <c r="A105" t="s">
        <v>615</v>
      </c>
      <c r="B105">
        <v>45.4373556221665</v>
      </c>
      <c r="C105">
        <v>12.348691623142701</v>
      </c>
      <c r="H105" s="14" t="str">
        <f>IF(COUNTIF($A:$A,G105)=0,"NEW","")</f>
        <v>NEW</v>
      </c>
    </row>
    <row r="106" spans="1:8" x14ac:dyDescent="0.45">
      <c r="A106" t="s">
        <v>277</v>
      </c>
      <c r="B106">
        <v>48.206952535699699</v>
      </c>
      <c r="C106">
        <v>16.349384335710699</v>
      </c>
      <c r="H106" s="14" t="str">
        <f>IF(COUNTIF($A:$A,G106)=0,"NEW","")</f>
        <v>NEW</v>
      </c>
    </row>
    <row r="107" spans="1:8" x14ac:dyDescent="0.45">
      <c r="A107" t="s">
        <v>1590</v>
      </c>
      <c r="B107">
        <v>0</v>
      </c>
      <c r="C107">
        <v>0</v>
      </c>
      <c r="H107" s="14" t="str">
        <f>IF(COUNTIF($A:$A,G107)=0,"NEW","")</f>
        <v>NEW</v>
      </c>
    </row>
    <row r="108" spans="1:8" x14ac:dyDescent="0.45">
      <c r="A108" t="s">
        <v>553</v>
      </c>
      <c r="B108">
        <v>0</v>
      </c>
      <c r="C108">
        <v>0</v>
      </c>
      <c r="H108" s="14" t="str">
        <f>IF(COUNTIF($A:$A,G108)=0,"NEW","")</f>
        <v>NEW</v>
      </c>
    </row>
    <row r="109" spans="1:8" x14ac:dyDescent="0.45">
      <c r="A109" t="s">
        <v>506</v>
      </c>
      <c r="B109">
        <v>43.750267171589698</v>
      </c>
      <c r="C109">
        <v>11.247396239149801</v>
      </c>
      <c r="H109" s="14" t="str">
        <f>IF(COUNTIF($A:$A,G109)=0,"NEW","")</f>
        <v>NEW</v>
      </c>
    </row>
    <row r="110" spans="1:8" x14ac:dyDescent="0.45">
      <c r="A110" t="s">
        <v>1595</v>
      </c>
      <c r="B110">
        <v>0</v>
      </c>
      <c r="C110">
        <v>0</v>
      </c>
      <c r="H110" s="14" t="str">
        <f>IF(COUNTIF($A:$A,G110)=0,"NEW","")</f>
        <v>NEW</v>
      </c>
    </row>
    <row r="111" spans="1:8" x14ac:dyDescent="0.45">
      <c r="A111" t="s">
        <v>266</v>
      </c>
      <c r="B111">
        <v>43.750267171589698</v>
      </c>
      <c r="C111">
        <v>11.247396239149801</v>
      </c>
      <c r="H111" s="14" t="str">
        <f>IF(COUNTIF($A:$A,G111)=0,"NEW","")</f>
        <v>NEW</v>
      </c>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8A382-6001-4CCB-8EA6-1FCF220DCB40}">
  <sheetPr codeName="Sheet3"/>
  <dimension ref="B1:J30"/>
  <sheetViews>
    <sheetView workbookViewId="0">
      <selection activeCell="P16" sqref="P16"/>
    </sheetView>
  </sheetViews>
  <sheetFormatPr defaultRowHeight="14.25" x14ac:dyDescent="0.45"/>
  <cols>
    <col min="2" max="2" width="29.33203125" customWidth="1"/>
    <col min="3" max="3" width="2.46484375" customWidth="1"/>
    <col min="4" max="4" width="29.33203125" customWidth="1"/>
    <col min="5" max="5" width="2.46484375" customWidth="1"/>
    <col min="6" max="6" width="29.33203125" customWidth="1"/>
    <col min="7" max="7" width="2.46484375" customWidth="1"/>
    <col min="8" max="8" width="29.33203125" customWidth="1"/>
    <col min="9" max="9" width="2.46484375" customWidth="1"/>
    <col min="10" max="10" width="29.33203125" customWidth="1"/>
  </cols>
  <sheetData>
    <row r="1" spans="2:10" s="7" customFormat="1" x14ac:dyDescent="0.45">
      <c r="B1" s="6" t="s">
        <v>620</v>
      </c>
      <c r="C1" s="6"/>
      <c r="D1" s="6" t="s">
        <v>630</v>
      </c>
      <c r="E1" s="6"/>
      <c r="F1" s="6" t="s">
        <v>622</v>
      </c>
      <c r="G1" s="6"/>
      <c r="H1" s="6" t="s">
        <v>637</v>
      </c>
      <c r="J1" s="6" t="s">
        <v>2310</v>
      </c>
    </row>
    <row r="2" spans="2:10" x14ac:dyDescent="0.45">
      <c r="B2" t="s">
        <v>602</v>
      </c>
      <c r="D2" t="s">
        <v>633</v>
      </c>
      <c r="F2" t="s">
        <v>649</v>
      </c>
      <c r="H2" t="s">
        <v>641</v>
      </c>
      <c r="J2" t="s">
        <v>1071</v>
      </c>
    </row>
    <row r="3" spans="2:10" x14ac:dyDescent="0.45">
      <c r="B3" t="s">
        <v>603</v>
      </c>
      <c r="D3" t="s">
        <v>631</v>
      </c>
      <c r="F3" t="s">
        <v>643</v>
      </c>
      <c r="H3" t="s">
        <v>640</v>
      </c>
      <c r="J3" t="s">
        <v>1581</v>
      </c>
    </row>
    <row r="4" spans="2:10" x14ac:dyDescent="0.45">
      <c r="B4" t="s">
        <v>1786</v>
      </c>
      <c r="D4" t="s">
        <v>632</v>
      </c>
      <c r="F4" t="s">
        <v>235</v>
      </c>
      <c r="H4" t="s">
        <v>638</v>
      </c>
      <c r="J4" t="s">
        <v>2312</v>
      </c>
    </row>
    <row r="5" spans="2:10" x14ac:dyDescent="0.45">
      <c r="B5" t="s">
        <v>1785</v>
      </c>
      <c r="F5" t="s">
        <v>634</v>
      </c>
      <c r="H5" t="s">
        <v>639</v>
      </c>
      <c r="J5" t="s">
        <v>2314</v>
      </c>
    </row>
    <row r="6" spans="2:10" x14ac:dyDescent="0.45">
      <c r="B6" t="s">
        <v>621</v>
      </c>
      <c r="F6" t="s">
        <v>629</v>
      </c>
      <c r="H6" t="s">
        <v>642</v>
      </c>
      <c r="J6" t="s">
        <v>2313</v>
      </c>
    </row>
    <row r="7" spans="2:10" x14ac:dyDescent="0.45">
      <c r="B7" t="s">
        <v>600</v>
      </c>
      <c r="F7" t="s">
        <v>628</v>
      </c>
      <c r="J7" t="s">
        <v>2311</v>
      </c>
    </row>
    <row r="8" spans="2:10" x14ac:dyDescent="0.45">
      <c r="B8" t="s">
        <v>604</v>
      </c>
      <c r="F8" t="s">
        <v>236</v>
      </c>
      <c r="J8" t="s">
        <v>2315</v>
      </c>
    </row>
    <row r="9" spans="2:10" x14ac:dyDescent="0.45">
      <c r="B9" t="s">
        <v>607</v>
      </c>
      <c r="F9" t="s">
        <v>1800</v>
      </c>
    </row>
    <row r="10" spans="2:10" x14ac:dyDescent="0.45">
      <c r="B10" t="s">
        <v>181</v>
      </c>
      <c r="F10" t="s">
        <v>284</v>
      </c>
    </row>
    <row r="11" spans="2:10" x14ac:dyDescent="0.45">
      <c r="F11" t="s">
        <v>624</v>
      </c>
    </row>
    <row r="12" spans="2:10" x14ac:dyDescent="0.45">
      <c r="F12" t="s">
        <v>1798</v>
      </c>
    </row>
    <row r="13" spans="2:10" x14ac:dyDescent="0.45">
      <c r="F13" t="s">
        <v>237</v>
      </c>
    </row>
    <row r="14" spans="2:10" x14ac:dyDescent="0.45">
      <c r="F14" t="s">
        <v>636</v>
      </c>
    </row>
    <row r="15" spans="2:10" x14ac:dyDescent="0.45">
      <c r="F15" t="s">
        <v>287</v>
      </c>
    </row>
    <row r="16" spans="2:10" x14ac:dyDescent="0.45">
      <c r="F16" t="s">
        <v>648</v>
      </c>
    </row>
    <row r="17" spans="6:6" x14ac:dyDescent="0.45">
      <c r="F17" t="s">
        <v>623</v>
      </c>
    </row>
    <row r="18" spans="6:6" x14ac:dyDescent="0.45">
      <c r="F18" t="s">
        <v>644</v>
      </c>
    </row>
    <row r="19" spans="6:6" x14ac:dyDescent="0.45">
      <c r="F19" t="s">
        <v>645</v>
      </c>
    </row>
    <row r="20" spans="6:6" x14ac:dyDescent="0.45">
      <c r="F20" t="s">
        <v>819</v>
      </c>
    </row>
    <row r="21" spans="6:6" x14ac:dyDescent="0.45">
      <c r="F21" t="s">
        <v>241</v>
      </c>
    </row>
    <row r="22" spans="6:6" x14ac:dyDescent="0.45">
      <c r="F22" t="s">
        <v>626</v>
      </c>
    </row>
    <row r="23" spans="6:6" x14ac:dyDescent="0.45">
      <c r="F23" t="s">
        <v>234</v>
      </c>
    </row>
    <row r="24" spans="6:6" x14ac:dyDescent="0.45">
      <c r="F24" t="s">
        <v>635</v>
      </c>
    </row>
    <row r="25" spans="6:6" x14ac:dyDescent="0.45">
      <c r="F25" t="s">
        <v>627</v>
      </c>
    </row>
    <row r="26" spans="6:6" x14ac:dyDescent="0.45">
      <c r="F26" t="s">
        <v>647</v>
      </c>
    </row>
    <row r="27" spans="6:6" x14ac:dyDescent="0.45">
      <c r="F27" t="s">
        <v>625</v>
      </c>
    </row>
    <row r="28" spans="6:6" x14ac:dyDescent="0.45">
      <c r="F28" t="s">
        <v>646</v>
      </c>
    </row>
    <row r="29" spans="6:6" x14ac:dyDescent="0.45">
      <c r="F29" t="s">
        <v>1797</v>
      </c>
    </row>
    <row r="30" spans="6:6" x14ac:dyDescent="0.45">
      <c r="F30" t="s">
        <v>1799</v>
      </c>
    </row>
  </sheetData>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2C2D2E-67B1-4694-A79A-8DE191F14D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Geographic Mapping</vt:lpstr>
      <vt:lpstr>Place Profiles</vt:lpstr>
      <vt:lpstr>Drop 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Haley Price</dc:creator>
  <cp:lastModifiedBy>Haley Price</cp:lastModifiedBy>
  <dcterms:created xsi:type="dcterms:W3CDTF">2026-02-11T18:27:25Z</dcterms:created>
  <dcterms:modified xsi:type="dcterms:W3CDTF">2026-08-21T20:59:43Z</dcterms:modified>
</cp:coreProperties>
</file>